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urnal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By Setup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;[Red]-#,##0.00"/>
    <numFmt numFmtId="166" formatCode="0.00&quot;R&quot;;[Red]-0.00&quot;R&quot;"/>
    <numFmt numFmtId="167" formatCode="0.0%"/>
    <numFmt numFmtId="168" formatCode="0.00&quot;R&quot;"/>
    <numFmt numFmtId="169" formatCode="mmmm yyyy"/>
    <numFmt numFmtId="170" formatCode="d mmm"/>
  </numFmts>
  <fonts count="10">
    <font>
      <name val="Calibri"/>
      <family val="2"/>
      <color theme="1"/>
      <sz val="11"/>
      <scheme val="minor"/>
    </font>
    <font>
      <b val="1"/>
      <color rgb="001F2A44"/>
      <sz val="18"/>
    </font>
    <font>
      <color rgb="00000000"/>
      <sz val="11"/>
    </font>
    <font>
      <b val="1"/>
      <color rgb="001F2A44"/>
      <sz val="13"/>
    </font>
    <font>
      <b val="1"/>
      <color rgb="00FFFFFF"/>
    </font>
    <font>
      <b val="1"/>
      <color rgb="001F2A44"/>
      <sz val="15"/>
    </font>
    <font>
      <b val="1"/>
    </font>
    <font>
      <i val="1"/>
      <color rgb="00667085"/>
    </font>
    <font>
      <i val="1"/>
    </font>
    <font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8D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0" fillId="3" borderId="1" pivotButton="0" quotePrefix="0" xfId="0"/>
    <xf numFmtId="0" fontId="0" fillId="3" borderId="1" pivotButton="0" quotePrefix="0" xfId="0"/>
    <xf numFmtId="2" fontId="0" fillId="3" borderId="1" pivotButton="0" quotePrefix="0" xfId="0"/>
    <xf numFmtId="4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1" fontId="0" fillId="4" borderId="1" pivotButton="0" quotePrefix="0" xfId="0"/>
    <xf numFmtId="0" fontId="7" fillId="0" borderId="0" pivotButton="0" quotePrefix="0" xfId="0"/>
    <xf numFmtId="167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4" fillId="2" borderId="0" applyAlignment="1" pivotButton="0" quotePrefix="0" xfId="0">
      <alignment horizontal="center" wrapText="1"/>
    </xf>
    <xf numFmtId="0" fontId="8" fillId="0" borderId="0" pivotButton="0" quotePrefix="0" xfId="0"/>
    <xf numFmtId="168" fontId="0" fillId="4" borderId="1" pivotButton="0" quotePrefix="0" xfId="0"/>
    <xf numFmtId="169" fontId="0" fillId="3" borderId="1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170" fontId="6" fillId="0" borderId="0" pivotButton="0" quotePrefix="0" xfId="0"/>
    <xf numFmtId="0" fontId="9" fillId="0" borderId="0" pivotButton="0" quotePrefix="0" xfId="0"/>
    <xf numFmtId="165" fontId="0" fillId="0" borderId="1" applyAlignment="1" pivotButton="0" quotePrefix="0" xfId="0">
      <alignment horizontal="center"/>
    </xf>
    <xf numFmtId="165" fontId="6" fillId="0" borderId="1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P&amp;L ($)</a:t>
            </a:r>
          </a:p>
        </rich>
      </tx>
    </title>
    <plotArea>
      <lineChart>
        <grouping val="standard"/>
        <ser>
          <idx val="0"/>
          <order val="0"/>
          <tx>
            <strRef>
              <f>'Journal'!O1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'Journal'!$O$2:$O$60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Options Day Trader Journal</t>
        </is>
      </c>
    </row>
    <row r="3">
      <c r="B3" s="2" t="inlineStr">
        <is>
          <t>A plain trade journal that works out your win rate, expectancy, profit factor and drawdown for you.</t>
        </is>
      </c>
    </row>
    <row r="4">
      <c r="B4" s="2" t="inlineStr"/>
    </row>
    <row r="5">
      <c r="B5" s="3" t="inlineStr">
        <is>
          <t>How to use it</t>
        </is>
      </c>
    </row>
    <row r="6">
      <c r="B6" s="2" t="inlineStr">
        <is>
          <t>1. Go to the 'Journal' tab. Add one row per trade. Fill only the yellow cells.</t>
        </is>
      </c>
    </row>
    <row r="7">
      <c r="B7" s="2" t="inlineStr">
        <is>
          <t>2. Planned risk ($) is the most you were willing to lose on the trade BEFORE you entered (for a long option, usually the premium paid).</t>
        </is>
      </c>
    </row>
    <row r="8">
      <c r="B8" s="2" t="inlineStr">
        <is>
          <t>3. Multiplier is 100 for US stock options, 1 for shares. Fees is your total commission and fees for the round trip.</t>
        </is>
      </c>
    </row>
    <row r="9">
      <c r="B9" s="2" t="inlineStr">
        <is>
          <t>4. P&amp;L ($), R-multiple, win/loss and the running total fill in by themselves. Do not type in the grey cells.</t>
        </is>
      </c>
    </row>
    <row r="10">
      <c r="B10" s="2" t="inlineStr">
        <is>
          <t>5. 'Stats' shows the whole picture. 'Calendar' shows each day's P&amp;L for the month you choose. 'By Setup' splits results by setup tag.</t>
        </is>
      </c>
    </row>
    <row r="11">
      <c r="B11" s="2" t="inlineStr">
        <is>
          <t>6. The Journal has room for 500 trades. To add more, copy the last row's formulas down (every grey cell).</t>
        </is>
      </c>
    </row>
    <row r="12">
      <c r="B12" s="2" t="inlineStr"/>
    </row>
    <row r="13">
      <c r="B13" s="3" t="inlineStr">
        <is>
          <t>Words used</t>
        </is>
      </c>
    </row>
    <row r="14">
      <c r="B14" s="2" t="inlineStr">
        <is>
          <t>R-multiple: your P&amp;L divided by the risk you planned. +1R means you made what you risked; -1R means you lost all of it.</t>
        </is>
      </c>
    </row>
    <row r="15">
      <c r="B15" s="2" t="inlineStr">
        <is>
          <t>Expectancy: the average R (or $) you make per trade. Positive means the sample is profitable after fees.</t>
        </is>
      </c>
    </row>
    <row r="16">
      <c r="B16" s="2" t="inlineStr">
        <is>
          <t>Profit factor: total winnings divided by total losses. Above 1 means winners outweigh losers.</t>
        </is>
      </c>
    </row>
    <row r="17">
      <c r="B17" s="2" t="inlineStr">
        <is>
          <t>Max drawdown: the largest fall from a peak in your running P&amp;L.</t>
        </is>
      </c>
    </row>
    <row r="18">
      <c r="B18" s="2" t="inlineStr"/>
    </row>
    <row r="19">
      <c r="B19" s="3" t="inlineStr">
        <is>
          <t>Please read</t>
        </is>
      </c>
    </row>
    <row r="20">
      <c r="B20" s="2" t="inlineStr">
        <is>
          <t>This is a record-keeping tool. It does not give trade signals or advice, and keeping a journal does not make anyone profitable.</t>
        </is>
      </c>
    </row>
    <row r="21">
      <c r="B21" s="2" t="inlineStr">
        <is>
          <t>Trading options involves risk of loss. The sample rows are made-up examples; delete them before you start.</t>
        </is>
      </c>
    </row>
    <row r="22">
      <c r="B22" s="2" t="inlineStr">
        <is>
          <t>Built with AI assistance (Claude) and tested by recalculating every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  <col width="10" customWidth="1" min="8" max="8"/>
    <col width="9" customWidth="1" min="9" max="9"/>
    <col width="12" customWidth="1" min="10" max="10"/>
    <col width="32" customWidth="1" min="11" max="11"/>
    <col width="11" customWidth="1" min="12" max="12"/>
    <col width="11" customWidth="1" min="13" max="13"/>
    <col width="9" customWidth="1" min="14" max="14"/>
    <col width="14" customWidth="1" min="15" max="15"/>
    <col width="11" customWidth="1" min="16" max="16"/>
    <col width="12" customWidth="1" min="17" max="17"/>
    <col hidden="1" width="13" customWidth="1" min="19" max="19"/>
    <col hidden="1" width="13" customWidth="1" min="20" max="20"/>
  </cols>
  <sheetData>
    <row r="1" ht="3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Setup tag</t>
        </is>
      </c>
      <c r="D1" s="4" t="inlineStr">
        <is>
          <t>Direction</t>
        </is>
      </c>
      <c r="E1" s="4" t="inlineStr">
        <is>
          <t>Entry price</t>
        </is>
      </c>
      <c r="F1" s="4" t="inlineStr">
        <is>
          <t>Exit price</t>
        </is>
      </c>
      <c r="G1" s="4" t="inlineStr">
        <is>
          <t>Contracts / shares</t>
        </is>
      </c>
      <c r="H1" s="4" t="inlineStr">
        <is>
          <t>Multiplier</t>
        </is>
      </c>
      <c r="I1" s="4" t="inlineStr">
        <is>
          <t>Fees ($)</t>
        </is>
      </c>
      <c r="J1" s="4" t="inlineStr">
        <is>
          <t>Planned risk ($)</t>
        </is>
      </c>
      <c r="K1" s="4" t="inlineStr">
        <is>
          <t>Notes</t>
        </is>
      </c>
      <c r="L1" s="4" t="inlineStr">
        <is>
          <t>P&amp;L ($)</t>
        </is>
      </c>
      <c r="M1" s="4" t="inlineStr">
        <is>
          <t>R-multiple</t>
        </is>
      </c>
      <c r="N1" s="4" t="inlineStr">
        <is>
          <t>Result</t>
        </is>
      </c>
      <c r="O1" s="4" t="inlineStr">
        <is>
          <t>Running P&amp;L ($)</t>
        </is>
      </c>
      <c r="P1" s="4" t="inlineStr">
        <is>
          <t>Peak ($)</t>
        </is>
      </c>
      <c r="Q1" s="4" t="inlineStr">
        <is>
          <t>Drawdown ($)</t>
        </is>
      </c>
      <c r="S1" t="inlineStr">
        <is>
          <t>win streak (helper)</t>
        </is>
      </c>
      <c r="T1" t="inlineStr">
        <is>
          <t>loss streak (helper)</t>
        </is>
      </c>
    </row>
    <row r="2">
      <c r="A2" s="5" t="n">
        <v>46300</v>
      </c>
      <c r="B2" s="6" t="inlineStr">
        <is>
          <t>SPY</t>
        </is>
      </c>
      <c r="C2" s="6" t="inlineStr">
        <is>
          <t>ORB</t>
        </is>
      </c>
      <c r="D2" s="6" t="inlineStr">
        <is>
          <t>Long</t>
        </is>
      </c>
      <c r="E2" s="7" t="n">
        <v>1.2</v>
      </c>
      <c r="F2" s="7" t="n">
        <v>1.85</v>
      </c>
      <c r="G2" s="6" t="n">
        <v>2</v>
      </c>
      <c r="H2" s="6" t="n">
        <v>100</v>
      </c>
      <c r="I2" s="7" t="n">
        <v>2</v>
      </c>
      <c r="J2" s="8" t="n">
        <v>240</v>
      </c>
      <c r="K2" s="6" t="inlineStr">
        <is>
          <t>SAMPLE: delete me</t>
        </is>
      </c>
      <c r="L2" s="9">
        <f>IF(OR(E2="",F2=""),"",ROUND(IF(D2="Short",E2-F2,F2-E2)*G2*H2-I2,2))</f>
        <v/>
      </c>
      <c r="M2" s="10">
        <f>IF(OR(L2="",N(J2)&lt;=0),"",L2/J2)</f>
        <v/>
      </c>
      <c r="N2" s="11">
        <f>IF(L2="","",IF(L2&gt;0,"Win",IF(L2&lt;0,"Loss","Flat")))</f>
        <v/>
      </c>
      <c r="O2" s="9">
        <f>IF(L2="","",SUM($L$2:L2))</f>
        <v/>
      </c>
      <c r="P2" s="9">
        <f>IF(L2="","",MAX(0,MAX($O$2:O2)))</f>
        <v/>
      </c>
      <c r="Q2" s="9">
        <f>IF(L2="","",P2-O2)</f>
        <v/>
      </c>
      <c r="S2">
        <f>IF(N2="Win",1,0)</f>
        <v/>
      </c>
      <c r="T2">
        <f>IF(N2="Loss",1,0)</f>
        <v/>
      </c>
    </row>
    <row r="3">
      <c r="A3" s="5" t="n">
        <v>46300</v>
      </c>
      <c r="B3" s="6" t="inlineStr">
        <is>
          <t>QQQ</t>
        </is>
      </c>
      <c r="C3" s="6" t="inlineStr">
        <is>
          <t>Reversal</t>
        </is>
      </c>
      <c r="D3" s="6" t="inlineStr">
        <is>
          <t>Long</t>
        </is>
      </c>
      <c r="E3" s="7" t="n">
        <v>2.1</v>
      </c>
      <c r="F3" s="7" t="n">
        <v>1.4</v>
      </c>
      <c r="G3" s="6" t="n">
        <v>1</v>
      </c>
      <c r="H3" s="6" t="n">
        <v>100</v>
      </c>
      <c r="I3" s="7" t="n">
        <v>1</v>
      </c>
      <c r="J3" s="8" t="n">
        <v>210</v>
      </c>
      <c r="K3" s="6" t="inlineStr">
        <is>
          <t>SAMPLE</t>
        </is>
      </c>
      <c r="L3" s="9">
        <f>IF(OR(E3="",F3=""),"",ROUND(IF(D3="Short",E3-F3,F3-E3)*G3*H3-I3,2))</f>
        <v/>
      </c>
      <c r="M3" s="10">
        <f>IF(OR(L3="",N(J3)&lt;=0),"",L3/J3)</f>
        <v/>
      </c>
      <c r="N3" s="11">
        <f>IF(L3="","",IF(L3&gt;0,"Win",IF(L3&lt;0,"Loss","Flat")))</f>
        <v/>
      </c>
      <c r="O3" s="9">
        <f>IF(L3="","",SUM($L$2:L3))</f>
        <v/>
      </c>
      <c r="P3" s="9">
        <f>IF(L3="","",MAX(0,MAX($O$2:O3)))</f>
        <v/>
      </c>
      <c r="Q3" s="9">
        <f>IF(L3="","",P3-O3)</f>
        <v/>
      </c>
      <c r="S3">
        <f>IF(N3="Win",N(S2)+1,0)</f>
        <v/>
      </c>
      <c r="T3">
        <f>IF(N3="Loss",N(T2)+1,0)</f>
        <v/>
      </c>
    </row>
    <row r="4">
      <c r="A4" s="5" t="n">
        <v>46301</v>
      </c>
      <c r="B4" s="6" t="inlineStr">
        <is>
          <t>SPY</t>
        </is>
      </c>
      <c r="C4" s="6" t="inlineStr">
        <is>
          <t>ORB</t>
        </is>
      </c>
      <c r="D4" s="6" t="inlineStr">
        <is>
          <t>Short</t>
        </is>
      </c>
      <c r="E4" s="7" t="n">
        <v>1.5</v>
      </c>
      <c r="F4" s="7" t="n">
        <v>2.3</v>
      </c>
      <c r="G4" s="6" t="n">
        <v>2</v>
      </c>
      <c r="H4" s="6" t="n">
        <v>100</v>
      </c>
      <c r="I4" s="7" t="n">
        <v>2</v>
      </c>
      <c r="J4" s="8" t="n">
        <v>300</v>
      </c>
      <c r="K4" s="6" t="inlineStr">
        <is>
          <t>SAMPLE</t>
        </is>
      </c>
      <c r="L4" s="9">
        <f>IF(OR(E4="",F4=""),"",ROUND(IF(D4="Short",E4-F4,F4-E4)*G4*H4-I4,2))</f>
        <v/>
      </c>
      <c r="M4" s="10">
        <f>IF(OR(L4="",N(J4)&lt;=0),"",L4/J4)</f>
        <v/>
      </c>
      <c r="N4" s="11">
        <f>IF(L4="","",IF(L4&gt;0,"Win",IF(L4&lt;0,"Loss","Flat")))</f>
        <v/>
      </c>
      <c r="O4" s="9">
        <f>IF(L4="","",SUM($L$2:L4))</f>
        <v/>
      </c>
      <c r="P4" s="9">
        <f>IF(L4="","",MAX(0,MAX($O$2:O4)))</f>
        <v/>
      </c>
      <c r="Q4" s="9">
        <f>IF(L4="","",P4-O4)</f>
        <v/>
      </c>
      <c r="S4">
        <f>IF(N4="Win",N(S3)+1,0)</f>
        <v/>
      </c>
      <c r="T4">
        <f>IF(N4="Loss",N(T3)+1,0)</f>
        <v/>
      </c>
    </row>
    <row r="5">
      <c r="A5" s="5" t="n">
        <v>46302</v>
      </c>
      <c r="B5" s="6" t="inlineStr">
        <is>
          <t>SPY</t>
        </is>
      </c>
      <c r="C5" s="6" t="inlineStr">
        <is>
          <t>Vertical</t>
        </is>
      </c>
      <c r="D5" s="6" t="inlineStr">
        <is>
          <t>Long</t>
        </is>
      </c>
      <c r="E5" s="7" t="n">
        <v>0.8</v>
      </c>
      <c r="F5" s="7" t="n">
        <v>0.55</v>
      </c>
      <c r="G5" s="6" t="n">
        <v>3</v>
      </c>
      <c r="H5" s="6" t="n">
        <v>100</v>
      </c>
      <c r="I5" s="7" t="n">
        <v>3</v>
      </c>
      <c r="J5" s="8" t="n">
        <v>240</v>
      </c>
      <c r="K5" s="6" t="inlineStr">
        <is>
          <t>SAMPLE</t>
        </is>
      </c>
      <c r="L5" s="9">
        <f>IF(OR(E5="",F5=""),"",ROUND(IF(D5="Short",E5-F5,F5-E5)*G5*H5-I5,2))</f>
        <v/>
      </c>
      <c r="M5" s="10">
        <f>IF(OR(L5="",N(J5)&lt;=0),"",L5/J5)</f>
        <v/>
      </c>
      <c r="N5" s="11">
        <f>IF(L5="","",IF(L5&gt;0,"Win",IF(L5&lt;0,"Loss","Flat")))</f>
        <v/>
      </c>
      <c r="O5" s="9">
        <f>IF(L5="","",SUM($L$2:L5))</f>
        <v/>
      </c>
      <c r="P5" s="9">
        <f>IF(L5="","",MAX(0,MAX($O$2:O5)))</f>
        <v/>
      </c>
      <c r="Q5" s="9">
        <f>IF(L5="","",P5-O5)</f>
        <v/>
      </c>
      <c r="S5">
        <f>IF(N5="Win",N(S4)+1,0)</f>
        <v/>
      </c>
      <c r="T5">
        <f>IF(N5="Loss",N(T4)+1,0)</f>
        <v/>
      </c>
    </row>
    <row r="6">
      <c r="A6" s="5" t="n">
        <v>46303</v>
      </c>
      <c r="B6" s="6" t="inlineStr">
        <is>
          <t>QQQ</t>
        </is>
      </c>
      <c r="C6" s="6" t="inlineStr">
        <is>
          <t>ORB</t>
        </is>
      </c>
      <c r="D6" s="6" t="inlineStr">
        <is>
          <t>Long</t>
        </is>
      </c>
      <c r="E6" s="7" t="n">
        <v>1</v>
      </c>
      <c r="F6" s="7" t="n">
        <v>1.9</v>
      </c>
      <c r="G6" s="6" t="n">
        <v>2</v>
      </c>
      <c r="H6" s="6" t="n">
        <v>100</v>
      </c>
      <c r="I6" s="7" t="n">
        <v>2</v>
      </c>
      <c r="J6" s="8" t="n">
        <v>200</v>
      </c>
      <c r="K6" s="6" t="inlineStr">
        <is>
          <t>SAMPLE</t>
        </is>
      </c>
      <c r="L6" s="9">
        <f>IF(OR(E6="",F6=""),"",ROUND(IF(D6="Short",E6-F6,F6-E6)*G6*H6-I6,2))</f>
        <v/>
      </c>
      <c r="M6" s="10">
        <f>IF(OR(L6="",N(J6)&lt;=0),"",L6/J6)</f>
        <v/>
      </c>
      <c r="N6" s="11">
        <f>IF(L6="","",IF(L6&gt;0,"Win",IF(L6&lt;0,"Loss","Flat")))</f>
        <v/>
      </c>
      <c r="O6" s="9">
        <f>IF(L6="","",SUM($L$2:L6))</f>
        <v/>
      </c>
      <c r="P6" s="9">
        <f>IF(L6="","",MAX(0,MAX($O$2:O6)))</f>
        <v/>
      </c>
      <c r="Q6" s="9">
        <f>IF(L6="","",P6-O6)</f>
        <v/>
      </c>
      <c r="S6">
        <f>IF(N6="Win",N(S5)+1,0)</f>
        <v/>
      </c>
      <c r="T6">
        <f>IF(N6="Loss",N(T5)+1,0)</f>
        <v/>
      </c>
    </row>
    <row r="7">
      <c r="A7" s="5" t="n"/>
      <c r="B7" s="6" t="n"/>
      <c r="C7" s="6" t="n"/>
      <c r="D7" s="6" t="n"/>
      <c r="E7" s="7" t="n"/>
      <c r="F7" s="7" t="n"/>
      <c r="G7" s="6" t="n"/>
      <c r="H7" s="6" t="n"/>
      <c r="I7" s="7" t="n"/>
      <c r="J7" s="8" t="n"/>
      <c r="K7" s="6" t="n"/>
      <c r="L7" s="9">
        <f>IF(OR(E7="",F7=""),"",ROUND(IF(D7="Short",E7-F7,F7-E7)*G7*H7-I7,2))</f>
        <v/>
      </c>
      <c r="M7" s="10">
        <f>IF(OR(L7="",N(J7)&lt;=0),"",L7/J7)</f>
        <v/>
      </c>
      <c r="N7" s="11">
        <f>IF(L7="","",IF(L7&gt;0,"Win",IF(L7&lt;0,"Loss","Flat")))</f>
        <v/>
      </c>
      <c r="O7" s="9">
        <f>IF(L7="","",SUM($L$2:L7))</f>
        <v/>
      </c>
      <c r="P7" s="9">
        <f>IF(L7="","",MAX(0,MAX($O$2:O7)))</f>
        <v/>
      </c>
      <c r="Q7" s="9">
        <f>IF(L7="","",P7-O7)</f>
        <v/>
      </c>
      <c r="S7">
        <f>IF(N7="Win",N(S6)+1,0)</f>
        <v/>
      </c>
      <c r="T7">
        <f>IF(N7="Loss",N(T6)+1,0)</f>
        <v/>
      </c>
    </row>
    <row r="8">
      <c r="A8" s="5" t="n"/>
      <c r="B8" s="6" t="n"/>
      <c r="C8" s="6" t="n"/>
      <c r="D8" s="6" t="n"/>
      <c r="E8" s="7" t="n"/>
      <c r="F8" s="7" t="n"/>
      <c r="G8" s="6" t="n"/>
      <c r="H8" s="6" t="n"/>
      <c r="I8" s="7" t="n"/>
      <c r="J8" s="8" t="n"/>
      <c r="K8" s="6" t="n"/>
      <c r="L8" s="9">
        <f>IF(OR(E8="",F8=""),"",ROUND(IF(D8="Short",E8-F8,F8-E8)*G8*H8-I8,2))</f>
        <v/>
      </c>
      <c r="M8" s="10">
        <f>IF(OR(L8="",N(J8)&lt;=0),"",L8/J8)</f>
        <v/>
      </c>
      <c r="N8" s="11">
        <f>IF(L8="","",IF(L8&gt;0,"Win",IF(L8&lt;0,"Loss","Flat")))</f>
        <v/>
      </c>
      <c r="O8" s="9">
        <f>IF(L8="","",SUM($L$2:L8))</f>
        <v/>
      </c>
      <c r="P8" s="9">
        <f>IF(L8="","",MAX(0,MAX($O$2:O8)))</f>
        <v/>
      </c>
      <c r="Q8" s="9">
        <f>IF(L8="","",P8-O8)</f>
        <v/>
      </c>
      <c r="S8">
        <f>IF(N8="Win",N(S7)+1,0)</f>
        <v/>
      </c>
      <c r="T8">
        <f>IF(N8="Loss",N(T7)+1,0)</f>
        <v/>
      </c>
    </row>
    <row r="9">
      <c r="A9" s="5" t="n"/>
      <c r="B9" s="6" t="n"/>
      <c r="C9" s="6" t="n"/>
      <c r="D9" s="6" t="n"/>
      <c r="E9" s="7" t="n"/>
      <c r="F9" s="7" t="n"/>
      <c r="G9" s="6" t="n"/>
      <c r="H9" s="6" t="n"/>
      <c r="I9" s="7" t="n"/>
      <c r="J9" s="8" t="n"/>
      <c r="K9" s="6" t="n"/>
      <c r="L9" s="9">
        <f>IF(OR(E9="",F9=""),"",ROUND(IF(D9="Short",E9-F9,F9-E9)*G9*H9-I9,2))</f>
        <v/>
      </c>
      <c r="M9" s="10">
        <f>IF(OR(L9="",N(J9)&lt;=0),"",L9/J9)</f>
        <v/>
      </c>
      <c r="N9" s="11">
        <f>IF(L9="","",IF(L9&gt;0,"Win",IF(L9&lt;0,"Loss","Flat")))</f>
        <v/>
      </c>
      <c r="O9" s="9">
        <f>IF(L9="","",SUM($L$2:L9))</f>
        <v/>
      </c>
      <c r="P9" s="9">
        <f>IF(L9="","",MAX(0,MAX($O$2:O9)))</f>
        <v/>
      </c>
      <c r="Q9" s="9">
        <f>IF(L9="","",P9-O9)</f>
        <v/>
      </c>
      <c r="S9">
        <f>IF(N9="Win",N(S8)+1,0)</f>
        <v/>
      </c>
      <c r="T9">
        <f>IF(N9="Loss",N(T8)+1,0)</f>
        <v/>
      </c>
    </row>
    <row r="10">
      <c r="A10" s="5" t="n"/>
      <c r="B10" s="6" t="n"/>
      <c r="C10" s="6" t="n"/>
      <c r="D10" s="6" t="n"/>
      <c r="E10" s="7" t="n"/>
      <c r="F10" s="7" t="n"/>
      <c r="G10" s="6" t="n"/>
      <c r="H10" s="6" t="n"/>
      <c r="I10" s="7" t="n"/>
      <c r="J10" s="8" t="n"/>
      <c r="K10" s="6" t="n"/>
      <c r="L10" s="9">
        <f>IF(OR(E10="",F10=""),"",ROUND(IF(D10="Short",E10-F10,F10-E10)*G10*H10-I10,2))</f>
        <v/>
      </c>
      <c r="M10" s="10">
        <f>IF(OR(L10="",N(J10)&lt;=0),"",L10/J10)</f>
        <v/>
      </c>
      <c r="N10" s="11">
        <f>IF(L10="","",IF(L10&gt;0,"Win",IF(L10&lt;0,"Loss","Flat")))</f>
        <v/>
      </c>
      <c r="O10" s="9">
        <f>IF(L10="","",SUM($L$2:L10))</f>
        <v/>
      </c>
      <c r="P10" s="9">
        <f>IF(L10="","",MAX(0,MAX($O$2:O10)))</f>
        <v/>
      </c>
      <c r="Q10" s="9">
        <f>IF(L10="","",P10-O10)</f>
        <v/>
      </c>
      <c r="S10">
        <f>IF(N10="Win",N(S9)+1,0)</f>
        <v/>
      </c>
      <c r="T10">
        <f>IF(N10="Loss",N(T9)+1,0)</f>
        <v/>
      </c>
    </row>
    <row r="11">
      <c r="A11" s="5" t="n"/>
      <c r="B11" s="6" t="n"/>
      <c r="C11" s="6" t="n"/>
      <c r="D11" s="6" t="n"/>
      <c r="E11" s="7" t="n"/>
      <c r="F11" s="7" t="n"/>
      <c r="G11" s="6" t="n"/>
      <c r="H11" s="6" t="n"/>
      <c r="I11" s="7" t="n"/>
      <c r="J11" s="8" t="n"/>
      <c r="K11" s="6" t="n"/>
      <c r="L11" s="9">
        <f>IF(OR(E11="",F11=""),"",ROUND(IF(D11="Short",E11-F11,F11-E11)*G11*H11-I11,2))</f>
        <v/>
      </c>
      <c r="M11" s="10">
        <f>IF(OR(L11="",N(J11)&lt;=0),"",L11/J11)</f>
        <v/>
      </c>
      <c r="N11" s="11">
        <f>IF(L11="","",IF(L11&gt;0,"Win",IF(L11&lt;0,"Loss","Flat")))</f>
        <v/>
      </c>
      <c r="O11" s="9">
        <f>IF(L11="","",SUM($L$2:L11))</f>
        <v/>
      </c>
      <c r="P11" s="9">
        <f>IF(L11="","",MAX(0,MAX($O$2:O11)))</f>
        <v/>
      </c>
      <c r="Q11" s="9">
        <f>IF(L11="","",P11-O11)</f>
        <v/>
      </c>
      <c r="S11">
        <f>IF(N11="Win",N(S10)+1,0)</f>
        <v/>
      </c>
      <c r="T11">
        <f>IF(N11="Loss",N(T10)+1,0)</f>
        <v/>
      </c>
    </row>
    <row r="12">
      <c r="A12" s="5" t="n"/>
      <c r="B12" s="6" t="n"/>
      <c r="C12" s="6" t="n"/>
      <c r="D12" s="6" t="n"/>
      <c r="E12" s="7" t="n"/>
      <c r="F12" s="7" t="n"/>
      <c r="G12" s="6" t="n"/>
      <c r="H12" s="6" t="n"/>
      <c r="I12" s="7" t="n"/>
      <c r="J12" s="8" t="n"/>
      <c r="K12" s="6" t="n"/>
      <c r="L12" s="9">
        <f>IF(OR(E12="",F12=""),"",ROUND(IF(D12="Short",E12-F12,F12-E12)*G12*H12-I12,2))</f>
        <v/>
      </c>
      <c r="M12" s="10">
        <f>IF(OR(L12="",N(J12)&lt;=0),"",L12/J12)</f>
        <v/>
      </c>
      <c r="N12" s="11">
        <f>IF(L12="","",IF(L12&gt;0,"Win",IF(L12&lt;0,"Loss","Flat")))</f>
        <v/>
      </c>
      <c r="O12" s="9">
        <f>IF(L12="","",SUM($L$2:L12))</f>
        <v/>
      </c>
      <c r="P12" s="9">
        <f>IF(L12="","",MAX(0,MAX($O$2:O12)))</f>
        <v/>
      </c>
      <c r="Q12" s="9">
        <f>IF(L12="","",P12-O12)</f>
        <v/>
      </c>
      <c r="S12">
        <f>IF(N12="Win",N(S11)+1,0)</f>
        <v/>
      </c>
      <c r="T12">
        <f>IF(N12="Loss",N(T11)+1,0)</f>
        <v/>
      </c>
    </row>
    <row r="13">
      <c r="A13" s="5" t="n"/>
      <c r="B13" s="6" t="n"/>
      <c r="C13" s="6" t="n"/>
      <c r="D13" s="6" t="n"/>
      <c r="E13" s="7" t="n"/>
      <c r="F13" s="7" t="n"/>
      <c r="G13" s="6" t="n"/>
      <c r="H13" s="6" t="n"/>
      <c r="I13" s="7" t="n"/>
      <c r="J13" s="8" t="n"/>
      <c r="K13" s="6" t="n"/>
      <c r="L13" s="9">
        <f>IF(OR(E13="",F13=""),"",ROUND(IF(D13="Short",E13-F13,F13-E13)*G13*H13-I13,2))</f>
        <v/>
      </c>
      <c r="M13" s="10">
        <f>IF(OR(L13="",N(J13)&lt;=0),"",L13/J13)</f>
        <v/>
      </c>
      <c r="N13" s="11">
        <f>IF(L13="","",IF(L13&gt;0,"Win",IF(L13&lt;0,"Loss","Flat")))</f>
        <v/>
      </c>
      <c r="O13" s="9">
        <f>IF(L13="","",SUM($L$2:L13))</f>
        <v/>
      </c>
      <c r="P13" s="9">
        <f>IF(L13="","",MAX(0,MAX($O$2:O13)))</f>
        <v/>
      </c>
      <c r="Q13" s="9">
        <f>IF(L13="","",P13-O13)</f>
        <v/>
      </c>
      <c r="S13">
        <f>IF(N13="Win",N(S12)+1,0)</f>
        <v/>
      </c>
      <c r="T13">
        <f>IF(N13="Loss",N(T12)+1,0)</f>
        <v/>
      </c>
    </row>
    <row r="14">
      <c r="A14" s="5" t="n"/>
      <c r="B14" s="6" t="n"/>
      <c r="C14" s="6" t="n"/>
      <c r="D14" s="6" t="n"/>
      <c r="E14" s="7" t="n"/>
      <c r="F14" s="7" t="n"/>
      <c r="G14" s="6" t="n"/>
      <c r="H14" s="6" t="n"/>
      <c r="I14" s="7" t="n"/>
      <c r="J14" s="8" t="n"/>
      <c r="K14" s="6" t="n"/>
      <c r="L14" s="9">
        <f>IF(OR(E14="",F14=""),"",ROUND(IF(D14="Short",E14-F14,F14-E14)*G14*H14-I14,2))</f>
        <v/>
      </c>
      <c r="M14" s="10">
        <f>IF(OR(L14="",N(J14)&lt;=0),"",L14/J14)</f>
        <v/>
      </c>
      <c r="N14" s="11">
        <f>IF(L14="","",IF(L14&gt;0,"Win",IF(L14&lt;0,"Loss","Flat")))</f>
        <v/>
      </c>
      <c r="O14" s="9">
        <f>IF(L14="","",SUM($L$2:L14))</f>
        <v/>
      </c>
      <c r="P14" s="9">
        <f>IF(L14="","",MAX(0,MAX($O$2:O14)))</f>
        <v/>
      </c>
      <c r="Q14" s="9">
        <f>IF(L14="","",P14-O14)</f>
        <v/>
      </c>
      <c r="S14">
        <f>IF(N14="Win",N(S13)+1,0)</f>
        <v/>
      </c>
      <c r="T14">
        <f>IF(N14="Loss",N(T13)+1,0)</f>
        <v/>
      </c>
    </row>
    <row r="15">
      <c r="A15" s="5" t="n"/>
      <c r="B15" s="6" t="n"/>
      <c r="C15" s="6" t="n"/>
      <c r="D15" s="6" t="n"/>
      <c r="E15" s="7" t="n"/>
      <c r="F15" s="7" t="n"/>
      <c r="G15" s="6" t="n"/>
      <c r="H15" s="6" t="n"/>
      <c r="I15" s="7" t="n"/>
      <c r="J15" s="8" t="n"/>
      <c r="K15" s="6" t="n"/>
      <c r="L15" s="9">
        <f>IF(OR(E15="",F15=""),"",ROUND(IF(D15="Short",E15-F15,F15-E15)*G15*H15-I15,2))</f>
        <v/>
      </c>
      <c r="M15" s="10">
        <f>IF(OR(L15="",N(J15)&lt;=0),"",L15/J15)</f>
        <v/>
      </c>
      <c r="N15" s="11">
        <f>IF(L15="","",IF(L15&gt;0,"Win",IF(L15&lt;0,"Loss","Flat")))</f>
        <v/>
      </c>
      <c r="O15" s="9">
        <f>IF(L15="","",SUM($L$2:L15))</f>
        <v/>
      </c>
      <c r="P15" s="9">
        <f>IF(L15="","",MAX(0,MAX($O$2:O15)))</f>
        <v/>
      </c>
      <c r="Q15" s="9">
        <f>IF(L15="","",P15-O15)</f>
        <v/>
      </c>
      <c r="S15">
        <f>IF(N15="Win",N(S14)+1,0)</f>
        <v/>
      </c>
      <c r="T15">
        <f>IF(N15="Loss",N(T14)+1,0)</f>
        <v/>
      </c>
    </row>
    <row r="16">
      <c r="A16" s="5" t="n"/>
      <c r="B16" s="6" t="n"/>
      <c r="C16" s="6" t="n"/>
      <c r="D16" s="6" t="n"/>
      <c r="E16" s="7" t="n"/>
      <c r="F16" s="7" t="n"/>
      <c r="G16" s="6" t="n"/>
      <c r="H16" s="6" t="n"/>
      <c r="I16" s="7" t="n"/>
      <c r="J16" s="8" t="n"/>
      <c r="K16" s="6" t="n"/>
      <c r="L16" s="9">
        <f>IF(OR(E16="",F16=""),"",ROUND(IF(D16="Short",E16-F16,F16-E16)*G16*H16-I16,2))</f>
        <v/>
      </c>
      <c r="M16" s="10">
        <f>IF(OR(L16="",N(J16)&lt;=0),"",L16/J16)</f>
        <v/>
      </c>
      <c r="N16" s="11">
        <f>IF(L16="","",IF(L16&gt;0,"Win",IF(L16&lt;0,"Loss","Flat")))</f>
        <v/>
      </c>
      <c r="O16" s="9">
        <f>IF(L16="","",SUM($L$2:L16))</f>
        <v/>
      </c>
      <c r="P16" s="9">
        <f>IF(L16="","",MAX(0,MAX($O$2:O16)))</f>
        <v/>
      </c>
      <c r="Q16" s="9">
        <f>IF(L16="","",P16-O16)</f>
        <v/>
      </c>
      <c r="S16">
        <f>IF(N16="Win",N(S15)+1,0)</f>
        <v/>
      </c>
      <c r="T16">
        <f>IF(N16="Loss",N(T15)+1,0)</f>
        <v/>
      </c>
    </row>
    <row r="17">
      <c r="A17" s="5" t="n"/>
      <c r="B17" s="6" t="n"/>
      <c r="C17" s="6" t="n"/>
      <c r="D17" s="6" t="n"/>
      <c r="E17" s="7" t="n"/>
      <c r="F17" s="7" t="n"/>
      <c r="G17" s="6" t="n"/>
      <c r="H17" s="6" t="n"/>
      <c r="I17" s="7" t="n"/>
      <c r="J17" s="8" t="n"/>
      <c r="K17" s="6" t="n"/>
      <c r="L17" s="9">
        <f>IF(OR(E17="",F17=""),"",ROUND(IF(D17="Short",E17-F17,F17-E17)*G17*H17-I17,2))</f>
        <v/>
      </c>
      <c r="M17" s="10">
        <f>IF(OR(L17="",N(J17)&lt;=0),"",L17/J17)</f>
        <v/>
      </c>
      <c r="N17" s="11">
        <f>IF(L17="","",IF(L17&gt;0,"Win",IF(L17&lt;0,"Loss","Flat")))</f>
        <v/>
      </c>
      <c r="O17" s="9">
        <f>IF(L17="","",SUM($L$2:L17))</f>
        <v/>
      </c>
      <c r="P17" s="9">
        <f>IF(L17="","",MAX(0,MAX($O$2:O17)))</f>
        <v/>
      </c>
      <c r="Q17" s="9">
        <f>IF(L17="","",P17-O17)</f>
        <v/>
      </c>
      <c r="S17">
        <f>IF(N17="Win",N(S16)+1,0)</f>
        <v/>
      </c>
      <c r="T17">
        <f>IF(N17="Loss",N(T16)+1,0)</f>
        <v/>
      </c>
    </row>
    <row r="18">
      <c r="A18" s="5" t="n"/>
      <c r="B18" s="6" t="n"/>
      <c r="C18" s="6" t="n"/>
      <c r="D18" s="6" t="n"/>
      <c r="E18" s="7" t="n"/>
      <c r="F18" s="7" t="n"/>
      <c r="G18" s="6" t="n"/>
      <c r="H18" s="6" t="n"/>
      <c r="I18" s="7" t="n"/>
      <c r="J18" s="8" t="n"/>
      <c r="K18" s="6" t="n"/>
      <c r="L18" s="9">
        <f>IF(OR(E18="",F18=""),"",ROUND(IF(D18="Short",E18-F18,F18-E18)*G18*H18-I18,2))</f>
        <v/>
      </c>
      <c r="M18" s="10">
        <f>IF(OR(L18="",N(J18)&lt;=0),"",L18/J18)</f>
        <v/>
      </c>
      <c r="N18" s="11">
        <f>IF(L18="","",IF(L18&gt;0,"Win",IF(L18&lt;0,"Loss","Flat")))</f>
        <v/>
      </c>
      <c r="O18" s="9">
        <f>IF(L18="","",SUM($L$2:L18))</f>
        <v/>
      </c>
      <c r="P18" s="9">
        <f>IF(L18="","",MAX(0,MAX($O$2:O18)))</f>
        <v/>
      </c>
      <c r="Q18" s="9">
        <f>IF(L18="","",P18-O18)</f>
        <v/>
      </c>
      <c r="S18">
        <f>IF(N18="Win",N(S17)+1,0)</f>
        <v/>
      </c>
      <c r="T18">
        <f>IF(N18="Loss",N(T17)+1,0)</f>
        <v/>
      </c>
    </row>
    <row r="19">
      <c r="A19" s="5" t="n"/>
      <c r="B19" s="6" t="n"/>
      <c r="C19" s="6" t="n"/>
      <c r="D19" s="6" t="n"/>
      <c r="E19" s="7" t="n"/>
      <c r="F19" s="7" t="n"/>
      <c r="G19" s="6" t="n"/>
      <c r="H19" s="6" t="n"/>
      <c r="I19" s="7" t="n"/>
      <c r="J19" s="8" t="n"/>
      <c r="K19" s="6" t="n"/>
      <c r="L19" s="9">
        <f>IF(OR(E19="",F19=""),"",ROUND(IF(D19="Short",E19-F19,F19-E19)*G19*H19-I19,2))</f>
        <v/>
      </c>
      <c r="M19" s="10">
        <f>IF(OR(L19="",N(J19)&lt;=0),"",L19/J19)</f>
        <v/>
      </c>
      <c r="N19" s="11">
        <f>IF(L19="","",IF(L19&gt;0,"Win",IF(L19&lt;0,"Loss","Flat")))</f>
        <v/>
      </c>
      <c r="O19" s="9">
        <f>IF(L19="","",SUM($L$2:L19))</f>
        <v/>
      </c>
      <c r="P19" s="9">
        <f>IF(L19="","",MAX(0,MAX($O$2:O19)))</f>
        <v/>
      </c>
      <c r="Q19" s="9">
        <f>IF(L19="","",P19-O19)</f>
        <v/>
      </c>
      <c r="S19">
        <f>IF(N19="Win",N(S18)+1,0)</f>
        <v/>
      </c>
      <c r="T19">
        <f>IF(N19="Loss",N(T18)+1,0)</f>
        <v/>
      </c>
    </row>
    <row r="20">
      <c r="A20" s="5" t="n"/>
      <c r="B20" s="6" t="n"/>
      <c r="C20" s="6" t="n"/>
      <c r="D20" s="6" t="n"/>
      <c r="E20" s="7" t="n"/>
      <c r="F20" s="7" t="n"/>
      <c r="G20" s="6" t="n"/>
      <c r="H20" s="6" t="n"/>
      <c r="I20" s="7" t="n"/>
      <c r="J20" s="8" t="n"/>
      <c r="K20" s="6" t="n"/>
      <c r="L20" s="9">
        <f>IF(OR(E20="",F20=""),"",ROUND(IF(D20="Short",E20-F20,F20-E20)*G20*H20-I20,2))</f>
        <v/>
      </c>
      <c r="M20" s="10">
        <f>IF(OR(L20="",N(J20)&lt;=0),"",L20/J20)</f>
        <v/>
      </c>
      <c r="N20" s="11">
        <f>IF(L20="","",IF(L20&gt;0,"Win",IF(L20&lt;0,"Loss","Flat")))</f>
        <v/>
      </c>
      <c r="O20" s="9">
        <f>IF(L20="","",SUM($L$2:L20))</f>
        <v/>
      </c>
      <c r="P20" s="9">
        <f>IF(L20="","",MAX(0,MAX($O$2:O20)))</f>
        <v/>
      </c>
      <c r="Q20" s="9">
        <f>IF(L20="","",P20-O20)</f>
        <v/>
      </c>
      <c r="S20">
        <f>IF(N20="Win",N(S19)+1,0)</f>
        <v/>
      </c>
      <c r="T20">
        <f>IF(N20="Loss",N(T19)+1,0)</f>
        <v/>
      </c>
    </row>
    <row r="21">
      <c r="A21" s="5" t="n"/>
      <c r="B21" s="6" t="n"/>
      <c r="C21" s="6" t="n"/>
      <c r="D21" s="6" t="n"/>
      <c r="E21" s="7" t="n"/>
      <c r="F21" s="7" t="n"/>
      <c r="G21" s="6" t="n"/>
      <c r="H21" s="6" t="n"/>
      <c r="I21" s="7" t="n"/>
      <c r="J21" s="8" t="n"/>
      <c r="K21" s="6" t="n"/>
      <c r="L21" s="9">
        <f>IF(OR(E21="",F21=""),"",ROUND(IF(D21="Short",E21-F21,F21-E21)*G21*H21-I21,2))</f>
        <v/>
      </c>
      <c r="M21" s="10">
        <f>IF(OR(L21="",N(J21)&lt;=0),"",L21/J21)</f>
        <v/>
      </c>
      <c r="N21" s="11">
        <f>IF(L21="","",IF(L21&gt;0,"Win",IF(L21&lt;0,"Loss","Flat")))</f>
        <v/>
      </c>
      <c r="O21" s="9">
        <f>IF(L21="","",SUM($L$2:L21))</f>
        <v/>
      </c>
      <c r="P21" s="9">
        <f>IF(L21="","",MAX(0,MAX($O$2:O21)))</f>
        <v/>
      </c>
      <c r="Q21" s="9">
        <f>IF(L21="","",P21-O21)</f>
        <v/>
      </c>
      <c r="S21">
        <f>IF(N21="Win",N(S20)+1,0)</f>
        <v/>
      </c>
      <c r="T21">
        <f>IF(N21="Loss",N(T20)+1,0)</f>
        <v/>
      </c>
    </row>
    <row r="22">
      <c r="A22" s="5" t="n"/>
      <c r="B22" s="6" t="n"/>
      <c r="C22" s="6" t="n"/>
      <c r="D22" s="6" t="n"/>
      <c r="E22" s="7" t="n"/>
      <c r="F22" s="7" t="n"/>
      <c r="G22" s="6" t="n"/>
      <c r="H22" s="6" t="n"/>
      <c r="I22" s="7" t="n"/>
      <c r="J22" s="8" t="n"/>
      <c r="K22" s="6" t="n"/>
      <c r="L22" s="9">
        <f>IF(OR(E22="",F22=""),"",ROUND(IF(D22="Short",E22-F22,F22-E22)*G22*H22-I22,2))</f>
        <v/>
      </c>
      <c r="M22" s="10">
        <f>IF(OR(L22="",N(J22)&lt;=0),"",L22/J22)</f>
        <v/>
      </c>
      <c r="N22" s="11">
        <f>IF(L22="","",IF(L22&gt;0,"Win",IF(L22&lt;0,"Loss","Flat")))</f>
        <v/>
      </c>
      <c r="O22" s="9">
        <f>IF(L22="","",SUM($L$2:L22))</f>
        <v/>
      </c>
      <c r="P22" s="9">
        <f>IF(L22="","",MAX(0,MAX($O$2:O22)))</f>
        <v/>
      </c>
      <c r="Q22" s="9">
        <f>IF(L22="","",P22-O22)</f>
        <v/>
      </c>
      <c r="S22">
        <f>IF(N22="Win",N(S21)+1,0)</f>
        <v/>
      </c>
      <c r="T22">
        <f>IF(N22="Loss",N(T21)+1,0)</f>
        <v/>
      </c>
    </row>
    <row r="23">
      <c r="A23" s="5" t="n"/>
      <c r="B23" s="6" t="n"/>
      <c r="C23" s="6" t="n"/>
      <c r="D23" s="6" t="n"/>
      <c r="E23" s="7" t="n"/>
      <c r="F23" s="7" t="n"/>
      <c r="G23" s="6" t="n"/>
      <c r="H23" s="6" t="n"/>
      <c r="I23" s="7" t="n"/>
      <c r="J23" s="8" t="n"/>
      <c r="K23" s="6" t="n"/>
      <c r="L23" s="9">
        <f>IF(OR(E23="",F23=""),"",ROUND(IF(D23="Short",E23-F23,F23-E23)*G23*H23-I23,2))</f>
        <v/>
      </c>
      <c r="M23" s="10">
        <f>IF(OR(L23="",N(J23)&lt;=0),"",L23/J23)</f>
        <v/>
      </c>
      <c r="N23" s="11">
        <f>IF(L23="","",IF(L23&gt;0,"Win",IF(L23&lt;0,"Loss","Flat")))</f>
        <v/>
      </c>
      <c r="O23" s="9">
        <f>IF(L23="","",SUM($L$2:L23))</f>
        <v/>
      </c>
      <c r="P23" s="9">
        <f>IF(L23="","",MAX(0,MAX($O$2:O23)))</f>
        <v/>
      </c>
      <c r="Q23" s="9">
        <f>IF(L23="","",P23-O23)</f>
        <v/>
      </c>
      <c r="S23">
        <f>IF(N23="Win",N(S22)+1,0)</f>
        <v/>
      </c>
      <c r="T23">
        <f>IF(N23="Loss",N(T22)+1,0)</f>
        <v/>
      </c>
    </row>
    <row r="24">
      <c r="A24" s="5" t="n"/>
      <c r="B24" s="6" t="n"/>
      <c r="C24" s="6" t="n"/>
      <c r="D24" s="6" t="n"/>
      <c r="E24" s="7" t="n"/>
      <c r="F24" s="7" t="n"/>
      <c r="G24" s="6" t="n"/>
      <c r="H24" s="6" t="n"/>
      <c r="I24" s="7" t="n"/>
      <c r="J24" s="8" t="n"/>
      <c r="K24" s="6" t="n"/>
      <c r="L24" s="9">
        <f>IF(OR(E24="",F24=""),"",ROUND(IF(D24="Short",E24-F24,F24-E24)*G24*H24-I24,2))</f>
        <v/>
      </c>
      <c r="M24" s="10">
        <f>IF(OR(L24="",N(J24)&lt;=0),"",L24/J24)</f>
        <v/>
      </c>
      <c r="N24" s="11">
        <f>IF(L24="","",IF(L24&gt;0,"Win",IF(L24&lt;0,"Loss","Flat")))</f>
        <v/>
      </c>
      <c r="O24" s="9">
        <f>IF(L24="","",SUM($L$2:L24))</f>
        <v/>
      </c>
      <c r="P24" s="9">
        <f>IF(L24="","",MAX(0,MAX($O$2:O24)))</f>
        <v/>
      </c>
      <c r="Q24" s="9">
        <f>IF(L24="","",P24-O24)</f>
        <v/>
      </c>
      <c r="S24">
        <f>IF(N24="Win",N(S23)+1,0)</f>
        <v/>
      </c>
      <c r="T24">
        <f>IF(N24="Loss",N(T23)+1,0)</f>
        <v/>
      </c>
    </row>
    <row r="25">
      <c r="A25" s="5" t="n"/>
      <c r="B25" s="6" t="n"/>
      <c r="C25" s="6" t="n"/>
      <c r="D25" s="6" t="n"/>
      <c r="E25" s="7" t="n"/>
      <c r="F25" s="7" t="n"/>
      <c r="G25" s="6" t="n"/>
      <c r="H25" s="6" t="n"/>
      <c r="I25" s="7" t="n"/>
      <c r="J25" s="8" t="n"/>
      <c r="K25" s="6" t="n"/>
      <c r="L25" s="9">
        <f>IF(OR(E25="",F25=""),"",ROUND(IF(D25="Short",E25-F25,F25-E25)*G25*H25-I25,2))</f>
        <v/>
      </c>
      <c r="M25" s="10">
        <f>IF(OR(L25="",N(J25)&lt;=0),"",L25/J25)</f>
        <v/>
      </c>
      <c r="N25" s="11">
        <f>IF(L25="","",IF(L25&gt;0,"Win",IF(L25&lt;0,"Loss","Flat")))</f>
        <v/>
      </c>
      <c r="O25" s="9">
        <f>IF(L25="","",SUM($L$2:L25))</f>
        <v/>
      </c>
      <c r="P25" s="9">
        <f>IF(L25="","",MAX(0,MAX($O$2:O25)))</f>
        <v/>
      </c>
      <c r="Q25" s="9">
        <f>IF(L25="","",P25-O25)</f>
        <v/>
      </c>
      <c r="S25">
        <f>IF(N25="Win",N(S24)+1,0)</f>
        <v/>
      </c>
      <c r="T25">
        <f>IF(N25="Loss",N(T24)+1,0)</f>
        <v/>
      </c>
    </row>
    <row r="26">
      <c r="A26" s="5" t="n"/>
      <c r="B26" s="6" t="n"/>
      <c r="C26" s="6" t="n"/>
      <c r="D26" s="6" t="n"/>
      <c r="E26" s="7" t="n"/>
      <c r="F26" s="7" t="n"/>
      <c r="G26" s="6" t="n"/>
      <c r="H26" s="6" t="n"/>
      <c r="I26" s="7" t="n"/>
      <c r="J26" s="8" t="n"/>
      <c r="K26" s="6" t="n"/>
      <c r="L26" s="9">
        <f>IF(OR(E26="",F26=""),"",ROUND(IF(D26="Short",E26-F26,F26-E26)*G26*H26-I26,2))</f>
        <v/>
      </c>
      <c r="M26" s="10">
        <f>IF(OR(L26="",N(J26)&lt;=0),"",L26/J26)</f>
        <v/>
      </c>
      <c r="N26" s="11">
        <f>IF(L26="","",IF(L26&gt;0,"Win",IF(L26&lt;0,"Loss","Flat")))</f>
        <v/>
      </c>
      <c r="O26" s="9">
        <f>IF(L26="","",SUM($L$2:L26))</f>
        <v/>
      </c>
      <c r="P26" s="9">
        <f>IF(L26="","",MAX(0,MAX($O$2:O26)))</f>
        <v/>
      </c>
      <c r="Q26" s="9">
        <f>IF(L26="","",P26-O26)</f>
        <v/>
      </c>
      <c r="S26">
        <f>IF(N26="Win",N(S25)+1,0)</f>
        <v/>
      </c>
      <c r="T26">
        <f>IF(N26="Loss",N(T25)+1,0)</f>
        <v/>
      </c>
    </row>
    <row r="27">
      <c r="A27" s="5" t="n"/>
      <c r="B27" s="6" t="n"/>
      <c r="C27" s="6" t="n"/>
      <c r="D27" s="6" t="n"/>
      <c r="E27" s="7" t="n"/>
      <c r="F27" s="7" t="n"/>
      <c r="G27" s="6" t="n"/>
      <c r="H27" s="6" t="n"/>
      <c r="I27" s="7" t="n"/>
      <c r="J27" s="8" t="n"/>
      <c r="K27" s="6" t="n"/>
      <c r="L27" s="9">
        <f>IF(OR(E27="",F27=""),"",ROUND(IF(D27="Short",E27-F27,F27-E27)*G27*H27-I27,2))</f>
        <v/>
      </c>
      <c r="M27" s="10">
        <f>IF(OR(L27="",N(J27)&lt;=0),"",L27/J27)</f>
        <v/>
      </c>
      <c r="N27" s="11">
        <f>IF(L27="","",IF(L27&gt;0,"Win",IF(L27&lt;0,"Loss","Flat")))</f>
        <v/>
      </c>
      <c r="O27" s="9">
        <f>IF(L27="","",SUM($L$2:L27))</f>
        <v/>
      </c>
      <c r="P27" s="9">
        <f>IF(L27="","",MAX(0,MAX($O$2:O27)))</f>
        <v/>
      </c>
      <c r="Q27" s="9">
        <f>IF(L27="","",P27-O27)</f>
        <v/>
      </c>
      <c r="S27">
        <f>IF(N27="Win",N(S26)+1,0)</f>
        <v/>
      </c>
      <c r="T27">
        <f>IF(N27="Loss",N(T26)+1,0)</f>
        <v/>
      </c>
    </row>
    <row r="28">
      <c r="A28" s="5" t="n"/>
      <c r="B28" s="6" t="n"/>
      <c r="C28" s="6" t="n"/>
      <c r="D28" s="6" t="n"/>
      <c r="E28" s="7" t="n"/>
      <c r="F28" s="7" t="n"/>
      <c r="G28" s="6" t="n"/>
      <c r="H28" s="6" t="n"/>
      <c r="I28" s="7" t="n"/>
      <c r="J28" s="8" t="n"/>
      <c r="K28" s="6" t="n"/>
      <c r="L28" s="9">
        <f>IF(OR(E28="",F28=""),"",ROUND(IF(D28="Short",E28-F28,F28-E28)*G28*H28-I28,2))</f>
        <v/>
      </c>
      <c r="M28" s="10">
        <f>IF(OR(L28="",N(J28)&lt;=0),"",L28/J28)</f>
        <v/>
      </c>
      <c r="N28" s="11">
        <f>IF(L28="","",IF(L28&gt;0,"Win",IF(L28&lt;0,"Loss","Flat")))</f>
        <v/>
      </c>
      <c r="O28" s="9">
        <f>IF(L28="","",SUM($L$2:L28))</f>
        <v/>
      </c>
      <c r="P28" s="9">
        <f>IF(L28="","",MAX(0,MAX($O$2:O28)))</f>
        <v/>
      </c>
      <c r="Q28" s="9">
        <f>IF(L28="","",P28-O28)</f>
        <v/>
      </c>
      <c r="S28">
        <f>IF(N28="Win",N(S27)+1,0)</f>
        <v/>
      </c>
      <c r="T28">
        <f>IF(N28="Loss",N(T27)+1,0)</f>
        <v/>
      </c>
    </row>
    <row r="29">
      <c r="A29" s="5" t="n"/>
      <c r="B29" s="6" t="n"/>
      <c r="C29" s="6" t="n"/>
      <c r="D29" s="6" t="n"/>
      <c r="E29" s="7" t="n"/>
      <c r="F29" s="7" t="n"/>
      <c r="G29" s="6" t="n"/>
      <c r="H29" s="6" t="n"/>
      <c r="I29" s="7" t="n"/>
      <c r="J29" s="8" t="n"/>
      <c r="K29" s="6" t="n"/>
      <c r="L29" s="9">
        <f>IF(OR(E29="",F29=""),"",ROUND(IF(D29="Short",E29-F29,F29-E29)*G29*H29-I29,2))</f>
        <v/>
      </c>
      <c r="M29" s="10">
        <f>IF(OR(L29="",N(J29)&lt;=0),"",L29/J29)</f>
        <v/>
      </c>
      <c r="N29" s="11">
        <f>IF(L29="","",IF(L29&gt;0,"Win",IF(L29&lt;0,"Loss","Flat")))</f>
        <v/>
      </c>
      <c r="O29" s="9">
        <f>IF(L29="","",SUM($L$2:L29))</f>
        <v/>
      </c>
      <c r="P29" s="9">
        <f>IF(L29="","",MAX(0,MAX($O$2:O29)))</f>
        <v/>
      </c>
      <c r="Q29" s="9">
        <f>IF(L29="","",P29-O29)</f>
        <v/>
      </c>
      <c r="S29">
        <f>IF(N29="Win",N(S28)+1,0)</f>
        <v/>
      </c>
      <c r="T29">
        <f>IF(N29="Loss",N(T28)+1,0)</f>
        <v/>
      </c>
    </row>
    <row r="30">
      <c r="A30" s="5" t="n"/>
      <c r="B30" s="6" t="n"/>
      <c r="C30" s="6" t="n"/>
      <c r="D30" s="6" t="n"/>
      <c r="E30" s="7" t="n"/>
      <c r="F30" s="7" t="n"/>
      <c r="G30" s="6" t="n"/>
      <c r="H30" s="6" t="n"/>
      <c r="I30" s="7" t="n"/>
      <c r="J30" s="8" t="n"/>
      <c r="K30" s="6" t="n"/>
      <c r="L30" s="9">
        <f>IF(OR(E30="",F30=""),"",ROUND(IF(D30="Short",E30-F30,F30-E30)*G30*H30-I30,2))</f>
        <v/>
      </c>
      <c r="M30" s="10">
        <f>IF(OR(L30="",N(J30)&lt;=0),"",L30/J30)</f>
        <v/>
      </c>
      <c r="N30" s="11">
        <f>IF(L30="","",IF(L30&gt;0,"Win",IF(L30&lt;0,"Loss","Flat")))</f>
        <v/>
      </c>
      <c r="O30" s="9">
        <f>IF(L30="","",SUM($L$2:L30))</f>
        <v/>
      </c>
      <c r="P30" s="9">
        <f>IF(L30="","",MAX(0,MAX($O$2:O30)))</f>
        <v/>
      </c>
      <c r="Q30" s="9">
        <f>IF(L30="","",P30-O30)</f>
        <v/>
      </c>
      <c r="S30">
        <f>IF(N30="Win",N(S29)+1,0)</f>
        <v/>
      </c>
      <c r="T30">
        <f>IF(N30="Loss",N(T29)+1,0)</f>
        <v/>
      </c>
    </row>
    <row r="31">
      <c r="A31" s="5" t="n"/>
      <c r="B31" s="6" t="n"/>
      <c r="C31" s="6" t="n"/>
      <c r="D31" s="6" t="n"/>
      <c r="E31" s="7" t="n"/>
      <c r="F31" s="7" t="n"/>
      <c r="G31" s="6" t="n"/>
      <c r="H31" s="6" t="n"/>
      <c r="I31" s="7" t="n"/>
      <c r="J31" s="8" t="n"/>
      <c r="K31" s="6" t="n"/>
      <c r="L31" s="9">
        <f>IF(OR(E31="",F31=""),"",ROUND(IF(D31="Short",E31-F31,F31-E31)*G31*H31-I31,2))</f>
        <v/>
      </c>
      <c r="M31" s="10">
        <f>IF(OR(L31="",N(J31)&lt;=0),"",L31/J31)</f>
        <v/>
      </c>
      <c r="N31" s="11">
        <f>IF(L31="","",IF(L31&gt;0,"Win",IF(L31&lt;0,"Loss","Flat")))</f>
        <v/>
      </c>
      <c r="O31" s="9">
        <f>IF(L31="","",SUM($L$2:L31))</f>
        <v/>
      </c>
      <c r="P31" s="9">
        <f>IF(L31="","",MAX(0,MAX($O$2:O31)))</f>
        <v/>
      </c>
      <c r="Q31" s="9">
        <f>IF(L31="","",P31-O31)</f>
        <v/>
      </c>
      <c r="S31">
        <f>IF(N31="Win",N(S30)+1,0)</f>
        <v/>
      </c>
      <c r="T31">
        <f>IF(N31="Loss",N(T30)+1,0)</f>
        <v/>
      </c>
    </row>
    <row r="32">
      <c r="A32" s="5" t="n"/>
      <c r="B32" s="6" t="n"/>
      <c r="C32" s="6" t="n"/>
      <c r="D32" s="6" t="n"/>
      <c r="E32" s="7" t="n"/>
      <c r="F32" s="7" t="n"/>
      <c r="G32" s="6" t="n"/>
      <c r="H32" s="6" t="n"/>
      <c r="I32" s="7" t="n"/>
      <c r="J32" s="8" t="n"/>
      <c r="K32" s="6" t="n"/>
      <c r="L32" s="9">
        <f>IF(OR(E32="",F32=""),"",ROUND(IF(D32="Short",E32-F32,F32-E32)*G32*H32-I32,2))</f>
        <v/>
      </c>
      <c r="M32" s="10">
        <f>IF(OR(L32="",N(J32)&lt;=0),"",L32/J32)</f>
        <v/>
      </c>
      <c r="N32" s="11">
        <f>IF(L32="","",IF(L32&gt;0,"Win",IF(L32&lt;0,"Loss","Flat")))</f>
        <v/>
      </c>
      <c r="O32" s="9">
        <f>IF(L32="","",SUM($L$2:L32))</f>
        <v/>
      </c>
      <c r="P32" s="9">
        <f>IF(L32="","",MAX(0,MAX($O$2:O32)))</f>
        <v/>
      </c>
      <c r="Q32" s="9">
        <f>IF(L32="","",P32-O32)</f>
        <v/>
      </c>
      <c r="S32">
        <f>IF(N32="Win",N(S31)+1,0)</f>
        <v/>
      </c>
      <c r="T32">
        <f>IF(N32="Loss",N(T31)+1,0)</f>
        <v/>
      </c>
    </row>
    <row r="33">
      <c r="A33" s="5" t="n"/>
      <c r="B33" s="6" t="n"/>
      <c r="C33" s="6" t="n"/>
      <c r="D33" s="6" t="n"/>
      <c r="E33" s="7" t="n"/>
      <c r="F33" s="7" t="n"/>
      <c r="G33" s="6" t="n"/>
      <c r="H33" s="6" t="n"/>
      <c r="I33" s="7" t="n"/>
      <c r="J33" s="8" t="n"/>
      <c r="K33" s="6" t="n"/>
      <c r="L33" s="9">
        <f>IF(OR(E33="",F33=""),"",ROUND(IF(D33="Short",E33-F33,F33-E33)*G33*H33-I33,2))</f>
        <v/>
      </c>
      <c r="M33" s="10">
        <f>IF(OR(L33="",N(J33)&lt;=0),"",L33/J33)</f>
        <v/>
      </c>
      <c r="N33" s="11">
        <f>IF(L33="","",IF(L33&gt;0,"Win",IF(L33&lt;0,"Loss","Flat")))</f>
        <v/>
      </c>
      <c r="O33" s="9">
        <f>IF(L33="","",SUM($L$2:L33))</f>
        <v/>
      </c>
      <c r="P33" s="9">
        <f>IF(L33="","",MAX(0,MAX($O$2:O33)))</f>
        <v/>
      </c>
      <c r="Q33" s="9">
        <f>IF(L33="","",P33-O33)</f>
        <v/>
      </c>
      <c r="S33">
        <f>IF(N33="Win",N(S32)+1,0)</f>
        <v/>
      </c>
      <c r="T33">
        <f>IF(N33="Loss",N(T32)+1,0)</f>
        <v/>
      </c>
    </row>
    <row r="34">
      <c r="A34" s="5" t="n"/>
      <c r="B34" s="6" t="n"/>
      <c r="C34" s="6" t="n"/>
      <c r="D34" s="6" t="n"/>
      <c r="E34" s="7" t="n"/>
      <c r="F34" s="7" t="n"/>
      <c r="G34" s="6" t="n"/>
      <c r="H34" s="6" t="n"/>
      <c r="I34" s="7" t="n"/>
      <c r="J34" s="8" t="n"/>
      <c r="K34" s="6" t="n"/>
      <c r="L34" s="9">
        <f>IF(OR(E34="",F34=""),"",ROUND(IF(D34="Short",E34-F34,F34-E34)*G34*H34-I34,2))</f>
        <v/>
      </c>
      <c r="M34" s="10">
        <f>IF(OR(L34="",N(J34)&lt;=0),"",L34/J34)</f>
        <v/>
      </c>
      <c r="N34" s="11">
        <f>IF(L34="","",IF(L34&gt;0,"Win",IF(L34&lt;0,"Loss","Flat")))</f>
        <v/>
      </c>
      <c r="O34" s="9">
        <f>IF(L34="","",SUM($L$2:L34))</f>
        <v/>
      </c>
      <c r="P34" s="9">
        <f>IF(L34="","",MAX(0,MAX($O$2:O34)))</f>
        <v/>
      </c>
      <c r="Q34" s="9">
        <f>IF(L34="","",P34-O34)</f>
        <v/>
      </c>
      <c r="S34">
        <f>IF(N34="Win",N(S33)+1,0)</f>
        <v/>
      </c>
      <c r="T34">
        <f>IF(N34="Loss",N(T33)+1,0)</f>
        <v/>
      </c>
    </row>
    <row r="35">
      <c r="A35" s="5" t="n"/>
      <c r="B35" s="6" t="n"/>
      <c r="C35" s="6" t="n"/>
      <c r="D35" s="6" t="n"/>
      <c r="E35" s="7" t="n"/>
      <c r="F35" s="7" t="n"/>
      <c r="G35" s="6" t="n"/>
      <c r="H35" s="6" t="n"/>
      <c r="I35" s="7" t="n"/>
      <c r="J35" s="8" t="n"/>
      <c r="K35" s="6" t="n"/>
      <c r="L35" s="9">
        <f>IF(OR(E35="",F35=""),"",ROUND(IF(D35="Short",E35-F35,F35-E35)*G35*H35-I35,2))</f>
        <v/>
      </c>
      <c r="M35" s="10">
        <f>IF(OR(L35="",N(J35)&lt;=0),"",L35/J35)</f>
        <v/>
      </c>
      <c r="N35" s="11">
        <f>IF(L35="","",IF(L35&gt;0,"Win",IF(L35&lt;0,"Loss","Flat")))</f>
        <v/>
      </c>
      <c r="O35" s="9">
        <f>IF(L35="","",SUM($L$2:L35))</f>
        <v/>
      </c>
      <c r="P35" s="9">
        <f>IF(L35="","",MAX(0,MAX($O$2:O35)))</f>
        <v/>
      </c>
      <c r="Q35" s="9">
        <f>IF(L35="","",P35-O35)</f>
        <v/>
      </c>
      <c r="S35">
        <f>IF(N35="Win",N(S34)+1,0)</f>
        <v/>
      </c>
      <c r="T35">
        <f>IF(N35="Loss",N(T34)+1,0)</f>
        <v/>
      </c>
    </row>
    <row r="36">
      <c r="A36" s="5" t="n"/>
      <c r="B36" s="6" t="n"/>
      <c r="C36" s="6" t="n"/>
      <c r="D36" s="6" t="n"/>
      <c r="E36" s="7" t="n"/>
      <c r="F36" s="7" t="n"/>
      <c r="G36" s="6" t="n"/>
      <c r="H36" s="6" t="n"/>
      <c r="I36" s="7" t="n"/>
      <c r="J36" s="8" t="n"/>
      <c r="K36" s="6" t="n"/>
      <c r="L36" s="9">
        <f>IF(OR(E36="",F36=""),"",ROUND(IF(D36="Short",E36-F36,F36-E36)*G36*H36-I36,2))</f>
        <v/>
      </c>
      <c r="M36" s="10">
        <f>IF(OR(L36="",N(J36)&lt;=0),"",L36/J36)</f>
        <v/>
      </c>
      <c r="N36" s="11">
        <f>IF(L36="","",IF(L36&gt;0,"Win",IF(L36&lt;0,"Loss","Flat")))</f>
        <v/>
      </c>
      <c r="O36" s="9">
        <f>IF(L36="","",SUM($L$2:L36))</f>
        <v/>
      </c>
      <c r="P36" s="9">
        <f>IF(L36="","",MAX(0,MAX($O$2:O36)))</f>
        <v/>
      </c>
      <c r="Q36" s="9">
        <f>IF(L36="","",P36-O36)</f>
        <v/>
      </c>
      <c r="S36">
        <f>IF(N36="Win",N(S35)+1,0)</f>
        <v/>
      </c>
      <c r="T36">
        <f>IF(N36="Loss",N(T35)+1,0)</f>
        <v/>
      </c>
    </row>
    <row r="37">
      <c r="A37" s="5" t="n"/>
      <c r="B37" s="6" t="n"/>
      <c r="C37" s="6" t="n"/>
      <c r="D37" s="6" t="n"/>
      <c r="E37" s="7" t="n"/>
      <c r="F37" s="7" t="n"/>
      <c r="G37" s="6" t="n"/>
      <c r="H37" s="6" t="n"/>
      <c r="I37" s="7" t="n"/>
      <c r="J37" s="8" t="n"/>
      <c r="K37" s="6" t="n"/>
      <c r="L37" s="9">
        <f>IF(OR(E37="",F37=""),"",ROUND(IF(D37="Short",E37-F37,F37-E37)*G37*H37-I37,2))</f>
        <v/>
      </c>
      <c r="M37" s="10">
        <f>IF(OR(L37="",N(J37)&lt;=0),"",L37/J37)</f>
        <v/>
      </c>
      <c r="N37" s="11">
        <f>IF(L37="","",IF(L37&gt;0,"Win",IF(L37&lt;0,"Loss","Flat")))</f>
        <v/>
      </c>
      <c r="O37" s="9">
        <f>IF(L37="","",SUM($L$2:L37))</f>
        <v/>
      </c>
      <c r="P37" s="9">
        <f>IF(L37="","",MAX(0,MAX($O$2:O37)))</f>
        <v/>
      </c>
      <c r="Q37" s="9">
        <f>IF(L37="","",P37-O37)</f>
        <v/>
      </c>
      <c r="S37">
        <f>IF(N37="Win",N(S36)+1,0)</f>
        <v/>
      </c>
      <c r="T37">
        <f>IF(N37="Loss",N(T36)+1,0)</f>
        <v/>
      </c>
    </row>
    <row r="38">
      <c r="A38" s="5" t="n"/>
      <c r="B38" s="6" t="n"/>
      <c r="C38" s="6" t="n"/>
      <c r="D38" s="6" t="n"/>
      <c r="E38" s="7" t="n"/>
      <c r="F38" s="7" t="n"/>
      <c r="G38" s="6" t="n"/>
      <c r="H38" s="6" t="n"/>
      <c r="I38" s="7" t="n"/>
      <c r="J38" s="8" t="n"/>
      <c r="K38" s="6" t="n"/>
      <c r="L38" s="9">
        <f>IF(OR(E38="",F38=""),"",ROUND(IF(D38="Short",E38-F38,F38-E38)*G38*H38-I38,2))</f>
        <v/>
      </c>
      <c r="M38" s="10">
        <f>IF(OR(L38="",N(J38)&lt;=0),"",L38/J38)</f>
        <v/>
      </c>
      <c r="N38" s="11">
        <f>IF(L38="","",IF(L38&gt;0,"Win",IF(L38&lt;0,"Loss","Flat")))</f>
        <v/>
      </c>
      <c r="O38" s="9">
        <f>IF(L38="","",SUM($L$2:L38))</f>
        <v/>
      </c>
      <c r="P38" s="9">
        <f>IF(L38="","",MAX(0,MAX($O$2:O38)))</f>
        <v/>
      </c>
      <c r="Q38" s="9">
        <f>IF(L38="","",P38-O38)</f>
        <v/>
      </c>
      <c r="S38">
        <f>IF(N38="Win",N(S37)+1,0)</f>
        <v/>
      </c>
      <c r="T38">
        <f>IF(N38="Loss",N(T37)+1,0)</f>
        <v/>
      </c>
    </row>
    <row r="39">
      <c r="A39" s="5" t="n"/>
      <c r="B39" s="6" t="n"/>
      <c r="C39" s="6" t="n"/>
      <c r="D39" s="6" t="n"/>
      <c r="E39" s="7" t="n"/>
      <c r="F39" s="7" t="n"/>
      <c r="G39" s="6" t="n"/>
      <c r="H39" s="6" t="n"/>
      <c r="I39" s="7" t="n"/>
      <c r="J39" s="8" t="n"/>
      <c r="K39" s="6" t="n"/>
      <c r="L39" s="9">
        <f>IF(OR(E39="",F39=""),"",ROUND(IF(D39="Short",E39-F39,F39-E39)*G39*H39-I39,2))</f>
        <v/>
      </c>
      <c r="M39" s="10">
        <f>IF(OR(L39="",N(J39)&lt;=0),"",L39/J39)</f>
        <v/>
      </c>
      <c r="N39" s="11">
        <f>IF(L39="","",IF(L39&gt;0,"Win",IF(L39&lt;0,"Loss","Flat")))</f>
        <v/>
      </c>
      <c r="O39" s="9">
        <f>IF(L39="","",SUM($L$2:L39))</f>
        <v/>
      </c>
      <c r="P39" s="9">
        <f>IF(L39="","",MAX(0,MAX($O$2:O39)))</f>
        <v/>
      </c>
      <c r="Q39" s="9">
        <f>IF(L39="","",P39-O39)</f>
        <v/>
      </c>
      <c r="S39">
        <f>IF(N39="Win",N(S38)+1,0)</f>
        <v/>
      </c>
      <c r="T39">
        <f>IF(N39="Loss",N(T38)+1,0)</f>
        <v/>
      </c>
    </row>
    <row r="40">
      <c r="A40" s="5" t="n"/>
      <c r="B40" s="6" t="n"/>
      <c r="C40" s="6" t="n"/>
      <c r="D40" s="6" t="n"/>
      <c r="E40" s="7" t="n"/>
      <c r="F40" s="7" t="n"/>
      <c r="G40" s="6" t="n"/>
      <c r="H40" s="6" t="n"/>
      <c r="I40" s="7" t="n"/>
      <c r="J40" s="8" t="n"/>
      <c r="K40" s="6" t="n"/>
      <c r="L40" s="9">
        <f>IF(OR(E40="",F40=""),"",ROUND(IF(D40="Short",E40-F40,F40-E40)*G40*H40-I40,2))</f>
        <v/>
      </c>
      <c r="M40" s="10">
        <f>IF(OR(L40="",N(J40)&lt;=0),"",L40/J40)</f>
        <v/>
      </c>
      <c r="N40" s="11">
        <f>IF(L40="","",IF(L40&gt;0,"Win",IF(L40&lt;0,"Loss","Flat")))</f>
        <v/>
      </c>
      <c r="O40" s="9">
        <f>IF(L40="","",SUM($L$2:L40))</f>
        <v/>
      </c>
      <c r="P40" s="9">
        <f>IF(L40="","",MAX(0,MAX($O$2:O40)))</f>
        <v/>
      </c>
      <c r="Q40" s="9">
        <f>IF(L40="","",P40-O40)</f>
        <v/>
      </c>
      <c r="S40">
        <f>IF(N40="Win",N(S39)+1,0)</f>
        <v/>
      </c>
      <c r="T40">
        <f>IF(N40="Loss",N(T39)+1,0)</f>
        <v/>
      </c>
    </row>
    <row r="41">
      <c r="A41" s="5" t="n"/>
      <c r="B41" s="6" t="n"/>
      <c r="C41" s="6" t="n"/>
      <c r="D41" s="6" t="n"/>
      <c r="E41" s="7" t="n"/>
      <c r="F41" s="7" t="n"/>
      <c r="G41" s="6" t="n"/>
      <c r="H41" s="6" t="n"/>
      <c r="I41" s="7" t="n"/>
      <c r="J41" s="8" t="n"/>
      <c r="K41" s="6" t="n"/>
      <c r="L41" s="9">
        <f>IF(OR(E41="",F41=""),"",ROUND(IF(D41="Short",E41-F41,F41-E41)*G41*H41-I41,2))</f>
        <v/>
      </c>
      <c r="M41" s="10">
        <f>IF(OR(L41="",N(J41)&lt;=0),"",L41/J41)</f>
        <v/>
      </c>
      <c r="N41" s="11">
        <f>IF(L41="","",IF(L41&gt;0,"Win",IF(L41&lt;0,"Loss","Flat")))</f>
        <v/>
      </c>
      <c r="O41" s="9">
        <f>IF(L41="","",SUM($L$2:L41))</f>
        <v/>
      </c>
      <c r="P41" s="9">
        <f>IF(L41="","",MAX(0,MAX($O$2:O41)))</f>
        <v/>
      </c>
      <c r="Q41" s="9">
        <f>IF(L41="","",P41-O41)</f>
        <v/>
      </c>
      <c r="S41">
        <f>IF(N41="Win",N(S40)+1,0)</f>
        <v/>
      </c>
      <c r="T41">
        <f>IF(N41="Loss",N(T40)+1,0)</f>
        <v/>
      </c>
    </row>
    <row r="42">
      <c r="A42" s="5" t="n"/>
      <c r="B42" s="6" t="n"/>
      <c r="C42" s="6" t="n"/>
      <c r="D42" s="6" t="n"/>
      <c r="E42" s="7" t="n"/>
      <c r="F42" s="7" t="n"/>
      <c r="G42" s="6" t="n"/>
      <c r="H42" s="6" t="n"/>
      <c r="I42" s="7" t="n"/>
      <c r="J42" s="8" t="n"/>
      <c r="K42" s="6" t="n"/>
      <c r="L42" s="9">
        <f>IF(OR(E42="",F42=""),"",ROUND(IF(D42="Short",E42-F42,F42-E42)*G42*H42-I42,2))</f>
        <v/>
      </c>
      <c r="M42" s="10">
        <f>IF(OR(L42="",N(J42)&lt;=0),"",L42/J42)</f>
        <v/>
      </c>
      <c r="N42" s="11">
        <f>IF(L42="","",IF(L42&gt;0,"Win",IF(L42&lt;0,"Loss","Flat")))</f>
        <v/>
      </c>
      <c r="O42" s="9">
        <f>IF(L42="","",SUM($L$2:L42))</f>
        <v/>
      </c>
      <c r="P42" s="9">
        <f>IF(L42="","",MAX(0,MAX($O$2:O42)))</f>
        <v/>
      </c>
      <c r="Q42" s="9">
        <f>IF(L42="","",P42-O42)</f>
        <v/>
      </c>
      <c r="S42">
        <f>IF(N42="Win",N(S41)+1,0)</f>
        <v/>
      </c>
      <c r="T42">
        <f>IF(N42="Loss",N(T41)+1,0)</f>
        <v/>
      </c>
    </row>
    <row r="43">
      <c r="A43" s="5" t="n"/>
      <c r="B43" s="6" t="n"/>
      <c r="C43" s="6" t="n"/>
      <c r="D43" s="6" t="n"/>
      <c r="E43" s="7" t="n"/>
      <c r="F43" s="7" t="n"/>
      <c r="G43" s="6" t="n"/>
      <c r="H43" s="6" t="n"/>
      <c r="I43" s="7" t="n"/>
      <c r="J43" s="8" t="n"/>
      <c r="K43" s="6" t="n"/>
      <c r="L43" s="9">
        <f>IF(OR(E43="",F43=""),"",ROUND(IF(D43="Short",E43-F43,F43-E43)*G43*H43-I43,2))</f>
        <v/>
      </c>
      <c r="M43" s="10">
        <f>IF(OR(L43="",N(J43)&lt;=0),"",L43/J43)</f>
        <v/>
      </c>
      <c r="N43" s="11">
        <f>IF(L43="","",IF(L43&gt;0,"Win",IF(L43&lt;0,"Loss","Flat")))</f>
        <v/>
      </c>
      <c r="O43" s="9">
        <f>IF(L43="","",SUM($L$2:L43))</f>
        <v/>
      </c>
      <c r="P43" s="9">
        <f>IF(L43="","",MAX(0,MAX($O$2:O43)))</f>
        <v/>
      </c>
      <c r="Q43" s="9">
        <f>IF(L43="","",P43-O43)</f>
        <v/>
      </c>
      <c r="S43">
        <f>IF(N43="Win",N(S42)+1,0)</f>
        <v/>
      </c>
      <c r="T43">
        <f>IF(N43="Loss",N(T42)+1,0)</f>
        <v/>
      </c>
    </row>
    <row r="44">
      <c r="A44" s="5" t="n"/>
      <c r="B44" s="6" t="n"/>
      <c r="C44" s="6" t="n"/>
      <c r="D44" s="6" t="n"/>
      <c r="E44" s="7" t="n"/>
      <c r="F44" s="7" t="n"/>
      <c r="G44" s="6" t="n"/>
      <c r="H44" s="6" t="n"/>
      <c r="I44" s="7" t="n"/>
      <c r="J44" s="8" t="n"/>
      <c r="K44" s="6" t="n"/>
      <c r="L44" s="9">
        <f>IF(OR(E44="",F44=""),"",ROUND(IF(D44="Short",E44-F44,F44-E44)*G44*H44-I44,2))</f>
        <v/>
      </c>
      <c r="M44" s="10">
        <f>IF(OR(L44="",N(J44)&lt;=0),"",L44/J44)</f>
        <v/>
      </c>
      <c r="N44" s="11">
        <f>IF(L44="","",IF(L44&gt;0,"Win",IF(L44&lt;0,"Loss","Flat")))</f>
        <v/>
      </c>
      <c r="O44" s="9">
        <f>IF(L44="","",SUM($L$2:L44))</f>
        <v/>
      </c>
      <c r="P44" s="9">
        <f>IF(L44="","",MAX(0,MAX($O$2:O44)))</f>
        <v/>
      </c>
      <c r="Q44" s="9">
        <f>IF(L44="","",P44-O44)</f>
        <v/>
      </c>
      <c r="S44">
        <f>IF(N44="Win",N(S43)+1,0)</f>
        <v/>
      </c>
      <c r="T44">
        <f>IF(N44="Loss",N(T43)+1,0)</f>
        <v/>
      </c>
    </row>
    <row r="45">
      <c r="A45" s="5" t="n"/>
      <c r="B45" s="6" t="n"/>
      <c r="C45" s="6" t="n"/>
      <c r="D45" s="6" t="n"/>
      <c r="E45" s="7" t="n"/>
      <c r="F45" s="7" t="n"/>
      <c r="G45" s="6" t="n"/>
      <c r="H45" s="6" t="n"/>
      <c r="I45" s="7" t="n"/>
      <c r="J45" s="8" t="n"/>
      <c r="K45" s="6" t="n"/>
      <c r="L45" s="9">
        <f>IF(OR(E45="",F45=""),"",ROUND(IF(D45="Short",E45-F45,F45-E45)*G45*H45-I45,2))</f>
        <v/>
      </c>
      <c r="M45" s="10">
        <f>IF(OR(L45="",N(J45)&lt;=0),"",L45/J45)</f>
        <v/>
      </c>
      <c r="N45" s="11">
        <f>IF(L45="","",IF(L45&gt;0,"Win",IF(L45&lt;0,"Loss","Flat")))</f>
        <v/>
      </c>
      <c r="O45" s="9">
        <f>IF(L45="","",SUM($L$2:L45))</f>
        <v/>
      </c>
      <c r="P45" s="9">
        <f>IF(L45="","",MAX(0,MAX($O$2:O45)))</f>
        <v/>
      </c>
      <c r="Q45" s="9">
        <f>IF(L45="","",P45-O45)</f>
        <v/>
      </c>
      <c r="S45">
        <f>IF(N45="Win",N(S44)+1,0)</f>
        <v/>
      </c>
      <c r="T45">
        <f>IF(N45="Loss",N(T44)+1,0)</f>
        <v/>
      </c>
    </row>
    <row r="46">
      <c r="A46" s="5" t="n"/>
      <c r="B46" s="6" t="n"/>
      <c r="C46" s="6" t="n"/>
      <c r="D46" s="6" t="n"/>
      <c r="E46" s="7" t="n"/>
      <c r="F46" s="7" t="n"/>
      <c r="G46" s="6" t="n"/>
      <c r="H46" s="6" t="n"/>
      <c r="I46" s="7" t="n"/>
      <c r="J46" s="8" t="n"/>
      <c r="K46" s="6" t="n"/>
      <c r="L46" s="9">
        <f>IF(OR(E46="",F46=""),"",ROUND(IF(D46="Short",E46-F46,F46-E46)*G46*H46-I46,2))</f>
        <v/>
      </c>
      <c r="M46" s="10">
        <f>IF(OR(L46="",N(J46)&lt;=0),"",L46/J46)</f>
        <v/>
      </c>
      <c r="N46" s="11">
        <f>IF(L46="","",IF(L46&gt;0,"Win",IF(L46&lt;0,"Loss","Flat")))</f>
        <v/>
      </c>
      <c r="O46" s="9">
        <f>IF(L46="","",SUM($L$2:L46))</f>
        <v/>
      </c>
      <c r="P46" s="9">
        <f>IF(L46="","",MAX(0,MAX($O$2:O46)))</f>
        <v/>
      </c>
      <c r="Q46" s="9">
        <f>IF(L46="","",P46-O46)</f>
        <v/>
      </c>
      <c r="S46">
        <f>IF(N46="Win",N(S45)+1,0)</f>
        <v/>
      </c>
      <c r="T46">
        <f>IF(N46="Loss",N(T45)+1,0)</f>
        <v/>
      </c>
    </row>
    <row r="47">
      <c r="A47" s="5" t="n"/>
      <c r="B47" s="6" t="n"/>
      <c r="C47" s="6" t="n"/>
      <c r="D47" s="6" t="n"/>
      <c r="E47" s="7" t="n"/>
      <c r="F47" s="7" t="n"/>
      <c r="G47" s="6" t="n"/>
      <c r="H47" s="6" t="n"/>
      <c r="I47" s="7" t="n"/>
      <c r="J47" s="8" t="n"/>
      <c r="K47" s="6" t="n"/>
      <c r="L47" s="9">
        <f>IF(OR(E47="",F47=""),"",ROUND(IF(D47="Short",E47-F47,F47-E47)*G47*H47-I47,2))</f>
        <v/>
      </c>
      <c r="M47" s="10">
        <f>IF(OR(L47="",N(J47)&lt;=0),"",L47/J47)</f>
        <v/>
      </c>
      <c r="N47" s="11">
        <f>IF(L47="","",IF(L47&gt;0,"Win",IF(L47&lt;0,"Loss","Flat")))</f>
        <v/>
      </c>
      <c r="O47" s="9">
        <f>IF(L47="","",SUM($L$2:L47))</f>
        <v/>
      </c>
      <c r="P47" s="9">
        <f>IF(L47="","",MAX(0,MAX($O$2:O47)))</f>
        <v/>
      </c>
      <c r="Q47" s="9">
        <f>IF(L47="","",P47-O47)</f>
        <v/>
      </c>
      <c r="S47">
        <f>IF(N47="Win",N(S46)+1,0)</f>
        <v/>
      </c>
      <c r="T47">
        <f>IF(N47="Loss",N(T46)+1,0)</f>
        <v/>
      </c>
    </row>
    <row r="48">
      <c r="A48" s="5" t="n"/>
      <c r="B48" s="6" t="n"/>
      <c r="C48" s="6" t="n"/>
      <c r="D48" s="6" t="n"/>
      <c r="E48" s="7" t="n"/>
      <c r="F48" s="7" t="n"/>
      <c r="G48" s="6" t="n"/>
      <c r="H48" s="6" t="n"/>
      <c r="I48" s="7" t="n"/>
      <c r="J48" s="8" t="n"/>
      <c r="K48" s="6" t="n"/>
      <c r="L48" s="9">
        <f>IF(OR(E48="",F48=""),"",ROUND(IF(D48="Short",E48-F48,F48-E48)*G48*H48-I48,2))</f>
        <v/>
      </c>
      <c r="M48" s="10">
        <f>IF(OR(L48="",N(J48)&lt;=0),"",L48/J48)</f>
        <v/>
      </c>
      <c r="N48" s="11">
        <f>IF(L48="","",IF(L48&gt;0,"Win",IF(L48&lt;0,"Loss","Flat")))</f>
        <v/>
      </c>
      <c r="O48" s="9">
        <f>IF(L48="","",SUM($L$2:L48))</f>
        <v/>
      </c>
      <c r="P48" s="9">
        <f>IF(L48="","",MAX(0,MAX($O$2:O48)))</f>
        <v/>
      </c>
      <c r="Q48" s="9">
        <f>IF(L48="","",P48-O48)</f>
        <v/>
      </c>
      <c r="S48">
        <f>IF(N48="Win",N(S47)+1,0)</f>
        <v/>
      </c>
      <c r="T48">
        <f>IF(N48="Loss",N(T47)+1,0)</f>
        <v/>
      </c>
    </row>
    <row r="49">
      <c r="A49" s="5" t="n"/>
      <c r="B49" s="6" t="n"/>
      <c r="C49" s="6" t="n"/>
      <c r="D49" s="6" t="n"/>
      <c r="E49" s="7" t="n"/>
      <c r="F49" s="7" t="n"/>
      <c r="G49" s="6" t="n"/>
      <c r="H49" s="6" t="n"/>
      <c r="I49" s="7" t="n"/>
      <c r="J49" s="8" t="n"/>
      <c r="K49" s="6" t="n"/>
      <c r="L49" s="9">
        <f>IF(OR(E49="",F49=""),"",ROUND(IF(D49="Short",E49-F49,F49-E49)*G49*H49-I49,2))</f>
        <v/>
      </c>
      <c r="M49" s="10">
        <f>IF(OR(L49="",N(J49)&lt;=0),"",L49/J49)</f>
        <v/>
      </c>
      <c r="N49" s="11">
        <f>IF(L49="","",IF(L49&gt;0,"Win",IF(L49&lt;0,"Loss","Flat")))</f>
        <v/>
      </c>
      <c r="O49" s="9">
        <f>IF(L49="","",SUM($L$2:L49))</f>
        <v/>
      </c>
      <c r="P49" s="9">
        <f>IF(L49="","",MAX(0,MAX($O$2:O49)))</f>
        <v/>
      </c>
      <c r="Q49" s="9">
        <f>IF(L49="","",P49-O49)</f>
        <v/>
      </c>
      <c r="S49">
        <f>IF(N49="Win",N(S48)+1,0)</f>
        <v/>
      </c>
      <c r="T49">
        <f>IF(N49="Loss",N(T48)+1,0)</f>
        <v/>
      </c>
    </row>
    <row r="50">
      <c r="A50" s="5" t="n"/>
      <c r="B50" s="6" t="n"/>
      <c r="C50" s="6" t="n"/>
      <c r="D50" s="6" t="n"/>
      <c r="E50" s="7" t="n"/>
      <c r="F50" s="7" t="n"/>
      <c r="G50" s="6" t="n"/>
      <c r="H50" s="6" t="n"/>
      <c r="I50" s="7" t="n"/>
      <c r="J50" s="8" t="n"/>
      <c r="K50" s="6" t="n"/>
      <c r="L50" s="9">
        <f>IF(OR(E50="",F50=""),"",ROUND(IF(D50="Short",E50-F50,F50-E50)*G50*H50-I50,2))</f>
        <v/>
      </c>
      <c r="M50" s="10">
        <f>IF(OR(L50="",N(J50)&lt;=0),"",L50/J50)</f>
        <v/>
      </c>
      <c r="N50" s="11">
        <f>IF(L50="","",IF(L50&gt;0,"Win",IF(L50&lt;0,"Loss","Flat")))</f>
        <v/>
      </c>
      <c r="O50" s="9">
        <f>IF(L50="","",SUM($L$2:L50))</f>
        <v/>
      </c>
      <c r="P50" s="9">
        <f>IF(L50="","",MAX(0,MAX($O$2:O50)))</f>
        <v/>
      </c>
      <c r="Q50" s="9">
        <f>IF(L50="","",P50-O50)</f>
        <v/>
      </c>
      <c r="S50">
        <f>IF(N50="Win",N(S49)+1,0)</f>
        <v/>
      </c>
      <c r="T50">
        <f>IF(N50="Loss",N(T49)+1,0)</f>
        <v/>
      </c>
    </row>
    <row r="51">
      <c r="A51" s="5" t="n"/>
      <c r="B51" s="6" t="n"/>
      <c r="C51" s="6" t="n"/>
      <c r="D51" s="6" t="n"/>
      <c r="E51" s="7" t="n"/>
      <c r="F51" s="7" t="n"/>
      <c r="G51" s="6" t="n"/>
      <c r="H51" s="6" t="n"/>
      <c r="I51" s="7" t="n"/>
      <c r="J51" s="8" t="n"/>
      <c r="K51" s="6" t="n"/>
      <c r="L51" s="9">
        <f>IF(OR(E51="",F51=""),"",ROUND(IF(D51="Short",E51-F51,F51-E51)*G51*H51-I51,2))</f>
        <v/>
      </c>
      <c r="M51" s="10">
        <f>IF(OR(L51="",N(J51)&lt;=0),"",L51/J51)</f>
        <v/>
      </c>
      <c r="N51" s="11">
        <f>IF(L51="","",IF(L51&gt;0,"Win",IF(L51&lt;0,"Loss","Flat")))</f>
        <v/>
      </c>
      <c r="O51" s="9">
        <f>IF(L51="","",SUM($L$2:L51))</f>
        <v/>
      </c>
      <c r="P51" s="9">
        <f>IF(L51="","",MAX(0,MAX($O$2:O51)))</f>
        <v/>
      </c>
      <c r="Q51" s="9">
        <f>IF(L51="","",P51-O51)</f>
        <v/>
      </c>
      <c r="S51">
        <f>IF(N51="Win",N(S50)+1,0)</f>
        <v/>
      </c>
      <c r="T51">
        <f>IF(N51="Loss",N(T50)+1,0)</f>
        <v/>
      </c>
    </row>
    <row r="52">
      <c r="A52" s="5" t="n"/>
      <c r="B52" s="6" t="n"/>
      <c r="C52" s="6" t="n"/>
      <c r="D52" s="6" t="n"/>
      <c r="E52" s="7" t="n"/>
      <c r="F52" s="7" t="n"/>
      <c r="G52" s="6" t="n"/>
      <c r="H52" s="6" t="n"/>
      <c r="I52" s="7" t="n"/>
      <c r="J52" s="8" t="n"/>
      <c r="K52" s="6" t="n"/>
      <c r="L52" s="9">
        <f>IF(OR(E52="",F52=""),"",ROUND(IF(D52="Short",E52-F52,F52-E52)*G52*H52-I52,2))</f>
        <v/>
      </c>
      <c r="M52" s="10">
        <f>IF(OR(L52="",N(J52)&lt;=0),"",L52/J52)</f>
        <v/>
      </c>
      <c r="N52" s="11">
        <f>IF(L52="","",IF(L52&gt;0,"Win",IF(L52&lt;0,"Loss","Flat")))</f>
        <v/>
      </c>
      <c r="O52" s="9">
        <f>IF(L52="","",SUM($L$2:L52))</f>
        <v/>
      </c>
      <c r="P52" s="9">
        <f>IF(L52="","",MAX(0,MAX($O$2:O52)))</f>
        <v/>
      </c>
      <c r="Q52" s="9">
        <f>IF(L52="","",P52-O52)</f>
        <v/>
      </c>
      <c r="S52">
        <f>IF(N52="Win",N(S51)+1,0)</f>
        <v/>
      </c>
      <c r="T52">
        <f>IF(N52="Loss",N(T51)+1,0)</f>
        <v/>
      </c>
    </row>
    <row r="53">
      <c r="A53" s="5" t="n"/>
      <c r="B53" s="6" t="n"/>
      <c r="C53" s="6" t="n"/>
      <c r="D53" s="6" t="n"/>
      <c r="E53" s="7" t="n"/>
      <c r="F53" s="7" t="n"/>
      <c r="G53" s="6" t="n"/>
      <c r="H53" s="6" t="n"/>
      <c r="I53" s="7" t="n"/>
      <c r="J53" s="8" t="n"/>
      <c r="K53" s="6" t="n"/>
      <c r="L53" s="9">
        <f>IF(OR(E53="",F53=""),"",ROUND(IF(D53="Short",E53-F53,F53-E53)*G53*H53-I53,2))</f>
        <v/>
      </c>
      <c r="M53" s="10">
        <f>IF(OR(L53="",N(J53)&lt;=0),"",L53/J53)</f>
        <v/>
      </c>
      <c r="N53" s="11">
        <f>IF(L53="","",IF(L53&gt;0,"Win",IF(L53&lt;0,"Loss","Flat")))</f>
        <v/>
      </c>
      <c r="O53" s="9">
        <f>IF(L53="","",SUM($L$2:L53))</f>
        <v/>
      </c>
      <c r="P53" s="9">
        <f>IF(L53="","",MAX(0,MAX($O$2:O53)))</f>
        <v/>
      </c>
      <c r="Q53" s="9">
        <f>IF(L53="","",P53-O53)</f>
        <v/>
      </c>
      <c r="S53">
        <f>IF(N53="Win",N(S52)+1,0)</f>
        <v/>
      </c>
      <c r="T53">
        <f>IF(N53="Loss",N(T52)+1,0)</f>
        <v/>
      </c>
    </row>
    <row r="54">
      <c r="A54" s="5" t="n"/>
      <c r="B54" s="6" t="n"/>
      <c r="C54" s="6" t="n"/>
      <c r="D54" s="6" t="n"/>
      <c r="E54" s="7" t="n"/>
      <c r="F54" s="7" t="n"/>
      <c r="G54" s="6" t="n"/>
      <c r="H54" s="6" t="n"/>
      <c r="I54" s="7" t="n"/>
      <c r="J54" s="8" t="n"/>
      <c r="K54" s="6" t="n"/>
      <c r="L54" s="9">
        <f>IF(OR(E54="",F54=""),"",ROUND(IF(D54="Short",E54-F54,F54-E54)*G54*H54-I54,2))</f>
        <v/>
      </c>
      <c r="M54" s="10">
        <f>IF(OR(L54="",N(J54)&lt;=0),"",L54/J54)</f>
        <v/>
      </c>
      <c r="N54" s="11">
        <f>IF(L54="","",IF(L54&gt;0,"Win",IF(L54&lt;0,"Loss","Flat")))</f>
        <v/>
      </c>
      <c r="O54" s="9">
        <f>IF(L54="","",SUM($L$2:L54))</f>
        <v/>
      </c>
      <c r="P54" s="9">
        <f>IF(L54="","",MAX(0,MAX($O$2:O54)))</f>
        <v/>
      </c>
      <c r="Q54" s="9">
        <f>IF(L54="","",P54-O54)</f>
        <v/>
      </c>
      <c r="S54">
        <f>IF(N54="Win",N(S53)+1,0)</f>
        <v/>
      </c>
      <c r="T54">
        <f>IF(N54="Loss",N(T53)+1,0)</f>
        <v/>
      </c>
    </row>
    <row r="55">
      <c r="A55" s="5" t="n"/>
      <c r="B55" s="6" t="n"/>
      <c r="C55" s="6" t="n"/>
      <c r="D55" s="6" t="n"/>
      <c r="E55" s="7" t="n"/>
      <c r="F55" s="7" t="n"/>
      <c r="G55" s="6" t="n"/>
      <c r="H55" s="6" t="n"/>
      <c r="I55" s="7" t="n"/>
      <c r="J55" s="8" t="n"/>
      <c r="K55" s="6" t="n"/>
      <c r="L55" s="9">
        <f>IF(OR(E55="",F55=""),"",ROUND(IF(D55="Short",E55-F55,F55-E55)*G55*H55-I55,2))</f>
        <v/>
      </c>
      <c r="M55" s="10">
        <f>IF(OR(L55="",N(J55)&lt;=0),"",L55/J55)</f>
        <v/>
      </c>
      <c r="N55" s="11">
        <f>IF(L55="","",IF(L55&gt;0,"Win",IF(L55&lt;0,"Loss","Flat")))</f>
        <v/>
      </c>
      <c r="O55" s="9">
        <f>IF(L55="","",SUM($L$2:L55))</f>
        <v/>
      </c>
      <c r="P55" s="9">
        <f>IF(L55="","",MAX(0,MAX($O$2:O55)))</f>
        <v/>
      </c>
      <c r="Q55" s="9">
        <f>IF(L55="","",P55-O55)</f>
        <v/>
      </c>
      <c r="S55">
        <f>IF(N55="Win",N(S54)+1,0)</f>
        <v/>
      </c>
      <c r="T55">
        <f>IF(N55="Loss",N(T54)+1,0)</f>
        <v/>
      </c>
    </row>
    <row r="56">
      <c r="A56" s="5" t="n"/>
      <c r="B56" s="6" t="n"/>
      <c r="C56" s="6" t="n"/>
      <c r="D56" s="6" t="n"/>
      <c r="E56" s="7" t="n"/>
      <c r="F56" s="7" t="n"/>
      <c r="G56" s="6" t="n"/>
      <c r="H56" s="6" t="n"/>
      <c r="I56" s="7" t="n"/>
      <c r="J56" s="8" t="n"/>
      <c r="K56" s="6" t="n"/>
      <c r="L56" s="9">
        <f>IF(OR(E56="",F56=""),"",ROUND(IF(D56="Short",E56-F56,F56-E56)*G56*H56-I56,2))</f>
        <v/>
      </c>
      <c r="M56" s="10">
        <f>IF(OR(L56="",N(J56)&lt;=0),"",L56/J56)</f>
        <v/>
      </c>
      <c r="N56" s="11">
        <f>IF(L56="","",IF(L56&gt;0,"Win",IF(L56&lt;0,"Loss","Flat")))</f>
        <v/>
      </c>
      <c r="O56" s="9">
        <f>IF(L56="","",SUM($L$2:L56))</f>
        <v/>
      </c>
      <c r="P56" s="9">
        <f>IF(L56="","",MAX(0,MAX($O$2:O56)))</f>
        <v/>
      </c>
      <c r="Q56" s="9">
        <f>IF(L56="","",P56-O56)</f>
        <v/>
      </c>
      <c r="S56">
        <f>IF(N56="Win",N(S55)+1,0)</f>
        <v/>
      </c>
      <c r="T56">
        <f>IF(N56="Loss",N(T55)+1,0)</f>
        <v/>
      </c>
    </row>
    <row r="57">
      <c r="A57" s="5" t="n"/>
      <c r="B57" s="6" t="n"/>
      <c r="C57" s="6" t="n"/>
      <c r="D57" s="6" t="n"/>
      <c r="E57" s="7" t="n"/>
      <c r="F57" s="7" t="n"/>
      <c r="G57" s="6" t="n"/>
      <c r="H57" s="6" t="n"/>
      <c r="I57" s="7" t="n"/>
      <c r="J57" s="8" t="n"/>
      <c r="K57" s="6" t="n"/>
      <c r="L57" s="9">
        <f>IF(OR(E57="",F57=""),"",ROUND(IF(D57="Short",E57-F57,F57-E57)*G57*H57-I57,2))</f>
        <v/>
      </c>
      <c r="M57" s="10">
        <f>IF(OR(L57="",N(J57)&lt;=0),"",L57/J57)</f>
        <v/>
      </c>
      <c r="N57" s="11">
        <f>IF(L57="","",IF(L57&gt;0,"Win",IF(L57&lt;0,"Loss","Flat")))</f>
        <v/>
      </c>
      <c r="O57" s="9">
        <f>IF(L57="","",SUM($L$2:L57))</f>
        <v/>
      </c>
      <c r="P57" s="9">
        <f>IF(L57="","",MAX(0,MAX($O$2:O57)))</f>
        <v/>
      </c>
      <c r="Q57" s="9">
        <f>IF(L57="","",P57-O57)</f>
        <v/>
      </c>
      <c r="S57">
        <f>IF(N57="Win",N(S56)+1,0)</f>
        <v/>
      </c>
      <c r="T57">
        <f>IF(N57="Loss",N(T56)+1,0)</f>
        <v/>
      </c>
    </row>
    <row r="58">
      <c r="A58" s="5" t="n"/>
      <c r="B58" s="6" t="n"/>
      <c r="C58" s="6" t="n"/>
      <c r="D58" s="6" t="n"/>
      <c r="E58" s="7" t="n"/>
      <c r="F58" s="7" t="n"/>
      <c r="G58" s="6" t="n"/>
      <c r="H58" s="6" t="n"/>
      <c r="I58" s="7" t="n"/>
      <c r="J58" s="8" t="n"/>
      <c r="K58" s="6" t="n"/>
      <c r="L58" s="9">
        <f>IF(OR(E58="",F58=""),"",ROUND(IF(D58="Short",E58-F58,F58-E58)*G58*H58-I58,2))</f>
        <v/>
      </c>
      <c r="M58" s="10">
        <f>IF(OR(L58="",N(J58)&lt;=0),"",L58/J58)</f>
        <v/>
      </c>
      <c r="N58" s="11">
        <f>IF(L58="","",IF(L58&gt;0,"Win",IF(L58&lt;0,"Loss","Flat")))</f>
        <v/>
      </c>
      <c r="O58" s="9">
        <f>IF(L58="","",SUM($L$2:L58))</f>
        <v/>
      </c>
      <c r="P58" s="9">
        <f>IF(L58="","",MAX(0,MAX($O$2:O58)))</f>
        <v/>
      </c>
      <c r="Q58" s="9">
        <f>IF(L58="","",P58-O58)</f>
        <v/>
      </c>
      <c r="S58">
        <f>IF(N58="Win",N(S57)+1,0)</f>
        <v/>
      </c>
      <c r="T58">
        <f>IF(N58="Loss",N(T57)+1,0)</f>
        <v/>
      </c>
    </row>
    <row r="59">
      <c r="A59" s="5" t="n"/>
      <c r="B59" s="6" t="n"/>
      <c r="C59" s="6" t="n"/>
      <c r="D59" s="6" t="n"/>
      <c r="E59" s="7" t="n"/>
      <c r="F59" s="7" t="n"/>
      <c r="G59" s="6" t="n"/>
      <c r="H59" s="6" t="n"/>
      <c r="I59" s="7" t="n"/>
      <c r="J59" s="8" t="n"/>
      <c r="K59" s="6" t="n"/>
      <c r="L59" s="9">
        <f>IF(OR(E59="",F59=""),"",ROUND(IF(D59="Short",E59-F59,F59-E59)*G59*H59-I59,2))</f>
        <v/>
      </c>
      <c r="M59" s="10">
        <f>IF(OR(L59="",N(J59)&lt;=0),"",L59/J59)</f>
        <v/>
      </c>
      <c r="N59" s="11">
        <f>IF(L59="","",IF(L59&gt;0,"Win",IF(L59&lt;0,"Loss","Flat")))</f>
        <v/>
      </c>
      <c r="O59" s="9">
        <f>IF(L59="","",SUM($L$2:L59))</f>
        <v/>
      </c>
      <c r="P59" s="9">
        <f>IF(L59="","",MAX(0,MAX($O$2:O59)))</f>
        <v/>
      </c>
      <c r="Q59" s="9">
        <f>IF(L59="","",P59-O59)</f>
        <v/>
      </c>
      <c r="S59">
        <f>IF(N59="Win",N(S58)+1,0)</f>
        <v/>
      </c>
      <c r="T59">
        <f>IF(N59="Loss",N(T58)+1,0)</f>
        <v/>
      </c>
    </row>
    <row r="60">
      <c r="A60" s="5" t="n"/>
      <c r="B60" s="6" t="n"/>
      <c r="C60" s="6" t="n"/>
      <c r="D60" s="6" t="n"/>
      <c r="E60" s="7" t="n"/>
      <c r="F60" s="7" t="n"/>
      <c r="G60" s="6" t="n"/>
      <c r="H60" s="6" t="n"/>
      <c r="I60" s="7" t="n"/>
      <c r="J60" s="8" t="n"/>
      <c r="K60" s="6" t="n"/>
      <c r="L60" s="9">
        <f>IF(OR(E60="",F60=""),"",ROUND(IF(D60="Short",E60-F60,F60-E60)*G60*H60-I60,2))</f>
        <v/>
      </c>
      <c r="M60" s="10">
        <f>IF(OR(L60="",N(J60)&lt;=0),"",L60/J60)</f>
        <v/>
      </c>
      <c r="N60" s="11">
        <f>IF(L60="","",IF(L60&gt;0,"Win",IF(L60&lt;0,"Loss","Flat")))</f>
        <v/>
      </c>
      <c r="O60" s="9">
        <f>IF(L60="","",SUM($L$2:L60))</f>
        <v/>
      </c>
      <c r="P60" s="9">
        <f>IF(L60="","",MAX(0,MAX($O$2:O60)))</f>
        <v/>
      </c>
      <c r="Q60" s="9">
        <f>IF(L60="","",P60-O60)</f>
        <v/>
      </c>
      <c r="S60">
        <f>IF(N60="Win",N(S59)+1,0)</f>
        <v/>
      </c>
      <c r="T60">
        <f>IF(N60="Loss",N(T59)+1,0)</f>
        <v/>
      </c>
    </row>
    <row r="61">
      <c r="A61" s="5" t="n"/>
      <c r="B61" s="6" t="n"/>
      <c r="C61" s="6" t="n"/>
      <c r="D61" s="6" t="n"/>
      <c r="E61" s="7" t="n"/>
      <c r="F61" s="7" t="n"/>
      <c r="G61" s="6" t="n"/>
      <c r="H61" s="6" t="n"/>
      <c r="I61" s="7" t="n"/>
      <c r="J61" s="8" t="n"/>
      <c r="K61" s="6" t="n"/>
      <c r="L61" s="9">
        <f>IF(OR(E61="",F61=""),"",ROUND(IF(D61="Short",E61-F61,F61-E61)*G61*H61-I61,2))</f>
        <v/>
      </c>
      <c r="M61" s="10">
        <f>IF(OR(L61="",N(J61)&lt;=0),"",L61/J61)</f>
        <v/>
      </c>
      <c r="N61" s="11">
        <f>IF(L61="","",IF(L61&gt;0,"Win",IF(L61&lt;0,"Loss","Flat")))</f>
        <v/>
      </c>
      <c r="O61" s="9">
        <f>IF(L61="","",SUM($L$2:L61))</f>
        <v/>
      </c>
      <c r="P61" s="9">
        <f>IF(L61="","",MAX(0,MAX($O$2:O61)))</f>
        <v/>
      </c>
      <c r="Q61" s="9">
        <f>IF(L61="","",P61-O61)</f>
        <v/>
      </c>
      <c r="S61">
        <f>IF(N61="Win",N(S60)+1,0)</f>
        <v/>
      </c>
      <c r="T61">
        <f>IF(N61="Loss",N(T60)+1,0)</f>
        <v/>
      </c>
    </row>
    <row r="62">
      <c r="A62" s="5" t="n"/>
      <c r="B62" s="6" t="n"/>
      <c r="C62" s="6" t="n"/>
      <c r="D62" s="6" t="n"/>
      <c r="E62" s="7" t="n"/>
      <c r="F62" s="7" t="n"/>
      <c r="G62" s="6" t="n"/>
      <c r="H62" s="6" t="n"/>
      <c r="I62" s="7" t="n"/>
      <c r="J62" s="8" t="n"/>
      <c r="K62" s="6" t="n"/>
      <c r="L62" s="9">
        <f>IF(OR(E62="",F62=""),"",ROUND(IF(D62="Short",E62-F62,F62-E62)*G62*H62-I62,2))</f>
        <v/>
      </c>
      <c r="M62" s="10">
        <f>IF(OR(L62="",N(J62)&lt;=0),"",L62/J62)</f>
        <v/>
      </c>
      <c r="N62" s="11">
        <f>IF(L62="","",IF(L62&gt;0,"Win",IF(L62&lt;0,"Loss","Flat")))</f>
        <v/>
      </c>
      <c r="O62" s="9">
        <f>IF(L62="","",SUM($L$2:L62))</f>
        <v/>
      </c>
      <c r="P62" s="9">
        <f>IF(L62="","",MAX(0,MAX($O$2:O62)))</f>
        <v/>
      </c>
      <c r="Q62" s="9">
        <f>IF(L62="","",P62-O62)</f>
        <v/>
      </c>
      <c r="S62">
        <f>IF(N62="Win",N(S61)+1,0)</f>
        <v/>
      </c>
      <c r="T62">
        <f>IF(N62="Loss",N(T61)+1,0)</f>
        <v/>
      </c>
    </row>
    <row r="63">
      <c r="A63" s="5" t="n"/>
      <c r="B63" s="6" t="n"/>
      <c r="C63" s="6" t="n"/>
      <c r="D63" s="6" t="n"/>
      <c r="E63" s="7" t="n"/>
      <c r="F63" s="7" t="n"/>
      <c r="G63" s="6" t="n"/>
      <c r="H63" s="6" t="n"/>
      <c r="I63" s="7" t="n"/>
      <c r="J63" s="8" t="n"/>
      <c r="K63" s="6" t="n"/>
      <c r="L63" s="9">
        <f>IF(OR(E63="",F63=""),"",ROUND(IF(D63="Short",E63-F63,F63-E63)*G63*H63-I63,2))</f>
        <v/>
      </c>
      <c r="M63" s="10">
        <f>IF(OR(L63="",N(J63)&lt;=0),"",L63/J63)</f>
        <v/>
      </c>
      <c r="N63" s="11">
        <f>IF(L63="","",IF(L63&gt;0,"Win",IF(L63&lt;0,"Loss","Flat")))</f>
        <v/>
      </c>
      <c r="O63" s="9">
        <f>IF(L63="","",SUM($L$2:L63))</f>
        <v/>
      </c>
      <c r="P63" s="9">
        <f>IF(L63="","",MAX(0,MAX($O$2:O63)))</f>
        <v/>
      </c>
      <c r="Q63" s="9">
        <f>IF(L63="","",P63-O63)</f>
        <v/>
      </c>
      <c r="S63">
        <f>IF(N63="Win",N(S62)+1,0)</f>
        <v/>
      </c>
      <c r="T63">
        <f>IF(N63="Loss",N(T62)+1,0)</f>
        <v/>
      </c>
    </row>
    <row r="64">
      <c r="A64" s="5" t="n"/>
      <c r="B64" s="6" t="n"/>
      <c r="C64" s="6" t="n"/>
      <c r="D64" s="6" t="n"/>
      <c r="E64" s="7" t="n"/>
      <c r="F64" s="7" t="n"/>
      <c r="G64" s="6" t="n"/>
      <c r="H64" s="6" t="n"/>
      <c r="I64" s="7" t="n"/>
      <c r="J64" s="8" t="n"/>
      <c r="K64" s="6" t="n"/>
      <c r="L64" s="9">
        <f>IF(OR(E64="",F64=""),"",ROUND(IF(D64="Short",E64-F64,F64-E64)*G64*H64-I64,2))</f>
        <v/>
      </c>
      <c r="M64" s="10">
        <f>IF(OR(L64="",N(J64)&lt;=0),"",L64/J64)</f>
        <v/>
      </c>
      <c r="N64" s="11">
        <f>IF(L64="","",IF(L64&gt;0,"Win",IF(L64&lt;0,"Loss","Flat")))</f>
        <v/>
      </c>
      <c r="O64" s="9">
        <f>IF(L64="","",SUM($L$2:L64))</f>
        <v/>
      </c>
      <c r="P64" s="9">
        <f>IF(L64="","",MAX(0,MAX($O$2:O64)))</f>
        <v/>
      </c>
      <c r="Q64" s="9">
        <f>IF(L64="","",P64-O64)</f>
        <v/>
      </c>
      <c r="S64">
        <f>IF(N64="Win",N(S63)+1,0)</f>
        <v/>
      </c>
      <c r="T64">
        <f>IF(N64="Loss",N(T63)+1,0)</f>
        <v/>
      </c>
    </row>
    <row r="65">
      <c r="A65" s="5" t="n"/>
      <c r="B65" s="6" t="n"/>
      <c r="C65" s="6" t="n"/>
      <c r="D65" s="6" t="n"/>
      <c r="E65" s="7" t="n"/>
      <c r="F65" s="7" t="n"/>
      <c r="G65" s="6" t="n"/>
      <c r="H65" s="6" t="n"/>
      <c r="I65" s="7" t="n"/>
      <c r="J65" s="8" t="n"/>
      <c r="K65" s="6" t="n"/>
      <c r="L65" s="9">
        <f>IF(OR(E65="",F65=""),"",ROUND(IF(D65="Short",E65-F65,F65-E65)*G65*H65-I65,2))</f>
        <v/>
      </c>
      <c r="M65" s="10">
        <f>IF(OR(L65="",N(J65)&lt;=0),"",L65/J65)</f>
        <v/>
      </c>
      <c r="N65" s="11">
        <f>IF(L65="","",IF(L65&gt;0,"Win",IF(L65&lt;0,"Loss","Flat")))</f>
        <v/>
      </c>
      <c r="O65" s="9">
        <f>IF(L65="","",SUM($L$2:L65))</f>
        <v/>
      </c>
      <c r="P65" s="9">
        <f>IF(L65="","",MAX(0,MAX($O$2:O65)))</f>
        <v/>
      </c>
      <c r="Q65" s="9">
        <f>IF(L65="","",P65-O65)</f>
        <v/>
      </c>
      <c r="S65">
        <f>IF(N65="Win",N(S64)+1,0)</f>
        <v/>
      </c>
      <c r="T65">
        <f>IF(N65="Loss",N(T64)+1,0)</f>
        <v/>
      </c>
    </row>
    <row r="66">
      <c r="A66" s="5" t="n"/>
      <c r="B66" s="6" t="n"/>
      <c r="C66" s="6" t="n"/>
      <c r="D66" s="6" t="n"/>
      <c r="E66" s="7" t="n"/>
      <c r="F66" s="7" t="n"/>
      <c r="G66" s="6" t="n"/>
      <c r="H66" s="6" t="n"/>
      <c r="I66" s="7" t="n"/>
      <c r="J66" s="8" t="n"/>
      <c r="K66" s="6" t="n"/>
      <c r="L66" s="9">
        <f>IF(OR(E66="",F66=""),"",ROUND(IF(D66="Short",E66-F66,F66-E66)*G66*H66-I66,2))</f>
        <v/>
      </c>
      <c r="M66" s="10">
        <f>IF(OR(L66="",N(J66)&lt;=0),"",L66/J66)</f>
        <v/>
      </c>
      <c r="N66" s="11">
        <f>IF(L66="","",IF(L66&gt;0,"Win",IF(L66&lt;0,"Loss","Flat")))</f>
        <v/>
      </c>
      <c r="O66" s="9">
        <f>IF(L66="","",SUM($L$2:L66))</f>
        <v/>
      </c>
      <c r="P66" s="9">
        <f>IF(L66="","",MAX(0,MAX($O$2:O66)))</f>
        <v/>
      </c>
      <c r="Q66" s="9">
        <f>IF(L66="","",P66-O66)</f>
        <v/>
      </c>
      <c r="S66">
        <f>IF(N66="Win",N(S65)+1,0)</f>
        <v/>
      </c>
      <c r="T66">
        <f>IF(N66="Loss",N(T65)+1,0)</f>
        <v/>
      </c>
    </row>
    <row r="67">
      <c r="A67" s="5" t="n"/>
      <c r="B67" s="6" t="n"/>
      <c r="C67" s="6" t="n"/>
      <c r="D67" s="6" t="n"/>
      <c r="E67" s="7" t="n"/>
      <c r="F67" s="7" t="n"/>
      <c r="G67" s="6" t="n"/>
      <c r="H67" s="6" t="n"/>
      <c r="I67" s="7" t="n"/>
      <c r="J67" s="8" t="n"/>
      <c r="K67" s="6" t="n"/>
      <c r="L67" s="9">
        <f>IF(OR(E67="",F67=""),"",ROUND(IF(D67="Short",E67-F67,F67-E67)*G67*H67-I67,2))</f>
        <v/>
      </c>
      <c r="M67" s="10">
        <f>IF(OR(L67="",N(J67)&lt;=0),"",L67/J67)</f>
        <v/>
      </c>
      <c r="N67" s="11">
        <f>IF(L67="","",IF(L67&gt;0,"Win",IF(L67&lt;0,"Loss","Flat")))</f>
        <v/>
      </c>
      <c r="O67" s="9">
        <f>IF(L67="","",SUM($L$2:L67))</f>
        <v/>
      </c>
      <c r="P67" s="9">
        <f>IF(L67="","",MAX(0,MAX($O$2:O67)))</f>
        <v/>
      </c>
      <c r="Q67" s="9">
        <f>IF(L67="","",P67-O67)</f>
        <v/>
      </c>
      <c r="S67">
        <f>IF(N67="Win",N(S66)+1,0)</f>
        <v/>
      </c>
      <c r="T67">
        <f>IF(N67="Loss",N(T66)+1,0)</f>
        <v/>
      </c>
    </row>
    <row r="68">
      <c r="A68" s="5" t="n"/>
      <c r="B68" s="6" t="n"/>
      <c r="C68" s="6" t="n"/>
      <c r="D68" s="6" t="n"/>
      <c r="E68" s="7" t="n"/>
      <c r="F68" s="7" t="n"/>
      <c r="G68" s="6" t="n"/>
      <c r="H68" s="6" t="n"/>
      <c r="I68" s="7" t="n"/>
      <c r="J68" s="8" t="n"/>
      <c r="K68" s="6" t="n"/>
      <c r="L68" s="9">
        <f>IF(OR(E68="",F68=""),"",ROUND(IF(D68="Short",E68-F68,F68-E68)*G68*H68-I68,2))</f>
        <v/>
      </c>
      <c r="M68" s="10">
        <f>IF(OR(L68="",N(J68)&lt;=0),"",L68/J68)</f>
        <v/>
      </c>
      <c r="N68" s="11">
        <f>IF(L68="","",IF(L68&gt;0,"Win",IF(L68&lt;0,"Loss","Flat")))</f>
        <v/>
      </c>
      <c r="O68" s="9">
        <f>IF(L68="","",SUM($L$2:L68))</f>
        <v/>
      </c>
      <c r="P68" s="9">
        <f>IF(L68="","",MAX(0,MAX($O$2:O68)))</f>
        <v/>
      </c>
      <c r="Q68" s="9">
        <f>IF(L68="","",P68-O68)</f>
        <v/>
      </c>
      <c r="S68">
        <f>IF(N68="Win",N(S67)+1,0)</f>
        <v/>
      </c>
      <c r="T68">
        <f>IF(N68="Loss",N(T67)+1,0)</f>
        <v/>
      </c>
    </row>
    <row r="69">
      <c r="A69" s="5" t="n"/>
      <c r="B69" s="6" t="n"/>
      <c r="C69" s="6" t="n"/>
      <c r="D69" s="6" t="n"/>
      <c r="E69" s="7" t="n"/>
      <c r="F69" s="7" t="n"/>
      <c r="G69" s="6" t="n"/>
      <c r="H69" s="6" t="n"/>
      <c r="I69" s="7" t="n"/>
      <c r="J69" s="8" t="n"/>
      <c r="K69" s="6" t="n"/>
      <c r="L69" s="9">
        <f>IF(OR(E69="",F69=""),"",ROUND(IF(D69="Short",E69-F69,F69-E69)*G69*H69-I69,2))</f>
        <v/>
      </c>
      <c r="M69" s="10">
        <f>IF(OR(L69="",N(J69)&lt;=0),"",L69/J69)</f>
        <v/>
      </c>
      <c r="N69" s="11">
        <f>IF(L69="","",IF(L69&gt;0,"Win",IF(L69&lt;0,"Loss","Flat")))</f>
        <v/>
      </c>
      <c r="O69" s="9">
        <f>IF(L69="","",SUM($L$2:L69))</f>
        <v/>
      </c>
      <c r="P69" s="9">
        <f>IF(L69="","",MAX(0,MAX($O$2:O69)))</f>
        <v/>
      </c>
      <c r="Q69" s="9">
        <f>IF(L69="","",P69-O69)</f>
        <v/>
      </c>
      <c r="S69">
        <f>IF(N69="Win",N(S68)+1,0)</f>
        <v/>
      </c>
      <c r="T69">
        <f>IF(N69="Loss",N(T68)+1,0)</f>
        <v/>
      </c>
    </row>
    <row r="70">
      <c r="A70" s="5" t="n"/>
      <c r="B70" s="6" t="n"/>
      <c r="C70" s="6" t="n"/>
      <c r="D70" s="6" t="n"/>
      <c r="E70" s="7" t="n"/>
      <c r="F70" s="7" t="n"/>
      <c r="G70" s="6" t="n"/>
      <c r="H70" s="6" t="n"/>
      <c r="I70" s="7" t="n"/>
      <c r="J70" s="8" t="n"/>
      <c r="K70" s="6" t="n"/>
      <c r="L70" s="9">
        <f>IF(OR(E70="",F70=""),"",ROUND(IF(D70="Short",E70-F70,F70-E70)*G70*H70-I70,2))</f>
        <v/>
      </c>
      <c r="M70" s="10">
        <f>IF(OR(L70="",N(J70)&lt;=0),"",L70/J70)</f>
        <v/>
      </c>
      <c r="N70" s="11">
        <f>IF(L70="","",IF(L70&gt;0,"Win",IF(L70&lt;0,"Loss","Flat")))</f>
        <v/>
      </c>
      <c r="O70" s="9">
        <f>IF(L70="","",SUM($L$2:L70))</f>
        <v/>
      </c>
      <c r="P70" s="9">
        <f>IF(L70="","",MAX(0,MAX($O$2:O70)))</f>
        <v/>
      </c>
      <c r="Q70" s="9">
        <f>IF(L70="","",P70-O70)</f>
        <v/>
      </c>
      <c r="S70">
        <f>IF(N70="Win",N(S69)+1,0)</f>
        <v/>
      </c>
      <c r="T70">
        <f>IF(N70="Loss",N(T69)+1,0)</f>
        <v/>
      </c>
    </row>
    <row r="71">
      <c r="A71" s="5" t="n"/>
      <c r="B71" s="6" t="n"/>
      <c r="C71" s="6" t="n"/>
      <c r="D71" s="6" t="n"/>
      <c r="E71" s="7" t="n"/>
      <c r="F71" s="7" t="n"/>
      <c r="G71" s="6" t="n"/>
      <c r="H71" s="6" t="n"/>
      <c r="I71" s="7" t="n"/>
      <c r="J71" s="8" t="n"/>
      <c r="K71" s="6" t="n"/>
      <c r="L71" s="9">
        <f>IF(OR(E71="",F71=""),"",ROUND(IF(D71="Short",E71-F71,F71-E71)*G71*H71-I71,2))</f>
        <v/>
      </c>
      <c r="M71" s="10">
        <f>IF(OR(L71="",N(J71)&lt;=0),"",L71/J71)</f>
        <v/>
      </c>
      <c r="N71" s="11">
        <f>IF(L71="","",IF(L71&gt;0,"Win",IF(L71&lt;0,"Loss","Flat")))</f>
        <v/>
      </c>
      <c r="O71" s="9">
        <f>IF(L71="","",SUM($L$2:L71))</f>
        <v/>
      </c>
      <c r="P71" s="9">
        <f>IF(L71="","",MAX(0,MAX($O$2:O71)))</f>
        <v/>
      </c>
      <c r="Q71" s="9">
        <f>IF(L71="","",P71-O71)</f>
        <v/>
      </c>
      <c r="S71">
        <f>IF(N71="Win",N(S70)+1,0)</f>
        <v/>
      </c>
      <c r="T71">
        <f>IF(N71="Loss",N(T70)+1,0)</f>
        <v/>
      </c>
    </row>
    <row r="72">
      <c r="A72" s="5" t="n"/>
      <c r="B72" s="6" t="n"/>
      <c r="C72" s="6" t="n"/>
      <c r="D72" s="6" t="n"/>
      <c r="E72" s="7" t="n"/>
      <c r="F72" s="7" t="n"/>
      <c r="G72" s="6" t="n"/>
      <c r="H72" s="6" t="n"/>
      <c r="I72" s="7" t="n"/>
      <c r="J72" s="8" t="n"/>
      <c r="K72" s="6" t="n"/>
      <c r="L72" s="9">
        <f>IF(OR(E72="",F72=""),"",ROUND(IF(D72="Short",E72-F72,F72-E72)*G72*H72-I72,2))</f>
        <v/>
      </c>
      <c r="M72" s="10">
        <f>IF(OR(L72="",N(J72)&lt;=0),"",L72/J72)</f>
        <v/>
      </c>
      <c r="N72" s="11">
        <f>IF(L72="","",IF(L72&gt;0,"Win",IF(L72&lt;0,"Loss","Flat")))</f>
        <v/>
      </c>
      <c r="O72" s="9">
        <f>IF(L72="","",SUM($L$2:L72))</f>
        <v/>
      </c>
      <c r="P72" s="9">
        <f>IF(L72="","",MAX(0,MAX($O$2:O72)))</f>
        <v/>
      </c>
      <c r="Q72" s="9">
        <f>IF(L72="","",P72-O72)</f>
        <v/>
      </c>
      <c r="S72">
        <f>IF(N72="Win",N(S71)+1,0)</f>
        <v/>
      </c>
      <c r="T72">
        <f>IF(N72="Loss",N(T71)+1,0)</f>
        <v/>
      </c>
    </row>
    <row r="73">
      <c r="A73" s="5" t="n"/>
      <c r="B73" s="6" t="n"/>
      <c r="C73" s="6" t="n"/>
      <c r="D73" s="6" t="n"/>
      <c r="E73" s="7" t="n"/>
      <c r="F73" s="7" t="n"/>
      <c r="G73" s="6" t="n"/>
      <c r="H73" s="6" t="n"/>
      <c r="I73" s="7" t="n"/>
      <c r="J73" s="8" t="n"/>
      <c r="K73" s="6" t="n"/>
      <c r="L73" s="9">
        <f>IF(OR(E73="",F73=""),"",ROUND(IF(D73="Short",E73-F73,F73-E73)*G73*H73-I73,2))</f>
        <v/>
      </c>
      <c r="M73" s="10">
        <f>IF(OR(L73="",N(J73)&lt;=0),"",L73/J73)</f>
        <v/>
      </c>
      <c r="N73" s="11">
        <f>IF(L73="","",IF(L73&gt;0,"Win",IF(L73&lt;0,"Loss","Flat")))</f>
        <v/>
      </c>
      <c r="O73" s="9">
        <f>IF(L73="","",SUM($L$2:L73))</f>
        <v/>
      </c>
      <c r="P73" s="9">
        <f>IF(L73="","",MAX(0,MAX($O$2:O73)))</f>
        <v/>
      </c>
      <c r="Q73" s="9">
        <f>IF(L73="","",P73-O73)</f>
        <v/>
      </c>
      <c r="S73">
        <f>IF(N73="Win",N(S72)+1,0)</f>
        <v/>
      </c>
      <c r="T73">
        <f>IF(N73="Loss",N(T72)+1,0)</f>
        <v/>
      </c>
    </row>
    <row r="74">
      <c r="A74" s="5" t="n"/>
      <c r="B74" s="6" t="n"/>
      <c r="C74" s="6" t="n"/>
      <c r="D74" s="6" t="n"/>
      <c r="E74" s="7" t="n"/>
      <c r="F74" s="7" t="n"/>
      <c r="G74" s="6" t="n"/>
      <c r="H74" s="6" t="n"/>
      <c r="I74" s="7" t="n"/>
      <c r="J74" s="8" t="n"/>
      <c r="K74" s="6" t="n"/>
      <c r="L74" s="9">
        <f>IF(OR(E74="",F74=""),"",ROUND(IF(D74="Short",E74-F74,F74-E74)*G74*H74-I74,2))</f>
        <v/>
      </c>
      <c r="M74" s="10">
        <f>IF(OR(L74="",N(J74)&lt;=0),"",L74/J74)</f>
        <v/>
      </c>
      <c r="N74" s="11">
        <f>IF(L74="","",IF(L74&gt;0,"Win",IF(L74&lt;0,"Loss","Flat")))</f>
        <v/>
      </c>
      <c r="O74" s="9">
        <f>IF(L74="","",SUM($L$2:L74))</f>
        <v/>
      </c>
      <c r="P74" s="9">
        <f>IF(L74="","",MAX(0,MAX($O$2:O74)))</f>
        <v/>
      </c>
      <c r="Q74" s="9">
        <f>IF(L74="","",P74-O74)</f>
        <v/>
      </c>
      <c r="S74">
        <f>IF(N74="Win",N(S73)+1,0)</f>
        <v/>
      </c>
      <c r="T74">
        <f>IF(N74="Loss",N(T73)+1,0)</f>
        <v/>
      </c>
    </row>
    <row r="75">
      <c r="A75" s="5" t="n"/>
      <c r="B75" s="6" t="n"/>
      <c r="C75" s="6" t="n"/>
      <c r="D75" s="6" t="n"/>
      <c r="E75" s="7" t="n"/>
      <c r="F75" s="7" t="n"/>
      <c r="G75" s="6" t="n"/>
      <c r="H75" s="6" t="n"/>
      <c r="I75" s="7" t="n"/>
      <c r="J75" s="8" t="n"/>
      <c r="K75" s="6" t="n"/>
      <c r="L75" s="9">
        <f>IF(OR(E75="",F75=""),"",ROUND(IF(D75="Short",E75-F75,F75-E75)*G75*H75-I75,2))</f>
        <v/>
      </c>
      <c r="M75" s="10">
        <f>IF(OR(L75="",N(J75)&lt;=0),"",L75/J75)</f>
        <v/>
      </c>
      <c r="N75" s="11">
        <f>IF(L75="","",IF(L75&gt;0,"Win",IF(L75&lt;0,"Loss","Flat")))</f>
        <v/>
      </c>
      <c r="O75" s="9">
        <f>IF(L75="","",SUM($L$2:L75))</f>
        <v/>
      </c>
      <c r="P75" s="9">
        <f>IF(L75="","",MAX(0,MAX($O$2:O75)))</f>
        <v/>
      </c>
      <c r="Q75" s="9">
        <f>IF(L75="","",P75-O75)</f>
        <v/>
      </c>
      <c r="S75">
        <f>IF(N75="Win",N(S74)+1,0)</f>
        <v/>
      </c>
      <c r="T75">
        <f>IF(N75="Loss",N(T74)+1,0)</f>
        <v/>
      </c>
    </row>
    <row r="76">
      <c r="A76" s="5" t="n"/>
      <c r="B76" s="6" t="n"/>
      <c r="C76" s="6" t="n"/>
      <c r="D76" s="6" t="n"/>
      <c r="E76" s="7" t="n"/>
      <c r="F76" s="7" t="n"/>
      <c r="G76" s="6" t="n"/>
      <c r="H76" s="6" t="n"/>
      <c r="I76" s="7" t="n"/>
      <c r="J76" s="8" t="n"/>
      <c r="K76" s="6" t="n"/>
      <c r="L76" s="9">
        <f>IF(OR(E76="",F76=""),"",ROUND(IF(D76="Short",E76-F76,F76-E76)*G76*H76-I76,2))</f>
        <v/>
      </c>
      <c r="M76" s="10">
        <f>IF(OR(L76="",N(J76)&lt;=0),"",L76/J76)</f>
        <v/>
      </c>
      <c r="N76" s="11">
        <f>IF(L76="","",IF(L76&gt;0,"Win",IF(L76&lt;0,"Loss","Flat")))</f>
        <v/>
      </c>
      <c r="O76" s="9">
        <f>IF(L76="","",SUM($L$2:L76))</f>
        <v/>
      </c>
      <c r="P76" s="9">
        <f>IF(L76="","",MAX(0,MAX($O$2:O76)))</f>
        <v/>
      </c>
      <c r="Q76" s="9">
        <f>IF(L76="","",P76-O76)</f>
        <v/>
      </c>
      <c r="S76">
        <f>IF(N76="Win",N(S75)+1,0)</f>
        <v/>
      </c>
      <c r="T76">
        <f>IF(N76="Loss",N(T75)+1,0)</f>
        <v/>
      </c>
    </row>
    <row r="77">
      <c r="A77" s="5" t="n"/>
      <c r="B77" s="6" t="n"/>
      <c r="C77" s="6" t="n"/>
      <c r="D77" s="6" t="n"/>
      <c r="E77" s="7" t="n"/>
      <c r="F77" s="7" t="n"/>
      <c r="G77" s="6" t="n"/>
      <c r="H77" s="6" t="n"/>
      <c r="I77" s="7" t="n"/>
      <c r="J77" s="8" t="n"/>
      <c r="K77" s="6" t="n"/>
      <c r="L77" s="9">
        <f>IF(OR(E77="",F77=""),"",ROUND(IF(D77="Short",E77-F77,F77-E77)*G77*H77-I77,2))</f>
        <v/>
      </c>
      <c r="M77" s="10">
        <f>IF(OR(L77="",N(J77)&lt;=0),"",L77/J77)</f>
        <v/>
      </c>
      <c r="N77" s="11">
        <f>IF(L77="","",IF(L77&gt;0,"Win",IF(L77&lt;0,"Loss","Flat")))</f>
        <v/>
      </c>
      <c r="O77" s="9">
        <f>IF(L77="","",SUM($L$2:L77))</f>
        <v/>
      </c>
      <c r="P77" s="9">
        <f>IF(L77="","",MAX(0,MAX($O$2:O77)))</f>
        <v/>
      </c>
      <c r="Q77" s="9">
        <f>IF(L77="","",P77-O77)</f>
        <v/>
      </c>
      <c r="S77">
        <f>IF(N77="Win",N(S76)+1,0)</f>
        <v/>
      </c>
      <c r="T77">
        <f>IF(N77="Loss",N(T76)+1,0)</f>
        <v/>
      </c>
    </row>
    <row r="78">
      <c r="A78" s="5" t="n"/>
      <c r="B78" s="6" t="n"/>
      <c r="C78" s="6" t="n"/>
      <c r="D78" s="6" t="n"/>
      <c r="E78" s="7" t="n"/>
      <c r="F78" s="7" t="n"/>
      <c r="G78" s="6" t="n"/>
      <c r="H78" s="6" t="n"/>
      <c r="I78" s="7" t="n"/>
      <c r="J78" s="8" t="n"/>
      <c r="K78" s="6" t="n"/>
      <c r="L78" s="9">
        <f>IF(OR(E78="",F78=""),"",ROUND(IF(D78="Short",E78-F78,F78-E78)*G78*H78-I78,2))</f>
        <v/>
      </c>
      <c r="M78" s="10">
        <f>IF(OR(L78="",N(J78)&lt;=0),"",L78/J78)</f>
        <v/>
      </c>
      <c r="N78" s="11">
        <f>IF(L78="","",IF(L78&gt;0,"Win",IF(L78&lt;0,"Loss","Flat")))</f>
        <v/>
      </c>
      <c r="O78" s="9">
        <f>IF(L78="","",SUM($L$2:L78))</f>
        <v/>
      </c>
      <c r="P78" s="9">
        <f>IF(L78="","",MAX(0,MAX($O$2:O78)))</f>
        <v/>
      </c>
      <c r="Q78" s="9">
        <f>IF(L78="","",P78-O78)</f>
        <v/>
      </c>
      <c r="S78">
        <f>IF(N78="Win",N(S77)+1,0)</f>
        <v/>
      </c>
      <c r="T78">
        <f>IF(N78="Loss",N(T77)+1,0)</f>
        <v/>
      </c>
    </row>
    <row r="79">
      <c r="A79" s="5" t="n"/>
      <c r="B79" s="6" t="n"/>
      <c r="C79" s="6" t="n"/>
      <c r="D79" s="6" t="n"/>
      <c r="E79" s="7" t="n"/>
      <c r="F79" s="7" t="n"/>
      <c r="G79" s="6" t="n"/>
      <c r="H79" s="6" t="n"/>
      <c r="I79" s="7" t="n"/>
      <c r="J79" s="8" t="n"/>
      <c r="K79" s="6" t="n"/>
      <c r="L79" s="9">
        <f>IF(OR(E79="",F79=""),"",ROUND(IF(D79="Short",E79-F79,F79-E79)*G79*H79-I79,2))</f>
        <v/>
      </c>
      <c r="M79" s="10">
        <f>IF(OR(L79="",N(J79)&lt;=0),"",L79/J79)</f>
        <v/>
      </c>
      <c r="N79" s="11">
        <f>IF(L79="","",IF(L79&gt;0,"Win",IF(L79&lt;0,"Loss","Flat")))</f>
        <v/>
      </c>
      <c r="O79" s="9">
        <f>IF(L79="","",SUM($L$2:L79))</f>
        <v/>
      </c>
      <c r="P79" s="9">
        <f>IF(L79="","",MAX(0,MAX($O$2:O79)))</f>
        <v/>
      </c>
      <c r="Q79" s="9">
        <f>IF(L79="","",P79-O79)</f>
        <v/>
      </c>
      <c r="S79">
        <f>IF(N79="Win",N(S78)+1,0)</f>
        <v/>
      </c>
      <c r="T79">
        <f>IF(N79="Loss",N(T78)+1,0)</f>
        <v/>
      </c>
    </row>
    <row r="80">
      <c r="A80" s="5" t="n"/>
      <c r="B80" s="6" t="n"/>
      <c r="C80" s="6" t="n"/>
      <c r="D80" s="6" t="n"/>
      <c r="E80" s="7" t="n"/>
      <c r="F80" s="7" t="n"/>
      <c r="G80" s="6" t="n"/>
      <c r="H80" s="6" t="n"/>
      <c r="I80" s="7" t="n"/>
      <c r="J80" s="8" t="n"/>
      <c r="K80" s="6" t="n"/>
      <c r="L80" s="9">
        <f>IF(OR(E80="",F80=""),"",ROUND(IF(D80="Short",E80-F80,F80-E80)*G80*H80-I80,2))</f>
        <v/>
      </c>
      <c r="M80" s="10">
        <f>IF(OR(L80="",N(J80)&lt;=0),"",L80/J80)</f>
        <v/>
      </c>
      <c r="N80" s="11">
        <f>IF(L80="","",IF(L80&gt;0,"Win",IF(L80&lt;0,"Loss","Flat")))</f>
        <v/>
      </c>
      <c r="O80" s="9">
        <f>IF(L80="","",SUM($L$2:L80))</f>
        <v/>
      </c>
      <c r="P80" s="9">
        <f>IF(L80="","",MAX(0,MAX($O$2:O80)))</f>
        <v/>
      </c>
      <c r="Q80" s="9">
        <f>IF(L80="","",P80-O80)</f>
        <v/>
      </c>
      <c r="S80">
        <f>IF(N80="Win",N(S79)+1,0)</f>
        <v/>
      </c>
      <c r="T80">
        <f>IF(N80="Loss",N(T79)+1,0)</f>
        <v/>
      </c>
    </row>
    <row r="81">
      <c r="A81" s="5" t="n"/>
      <c r="B81" s="6" t="n"/>
      <c r="C81" s="6" t="n"/>
      <c r="D81" s="6" t="n"/>
      <c r="E81" s="7" t="n"/>
      <c r="F81" s="7" t="n"/>
      <c r="G81" s="6" t="n"/>
      <c r="H81" s="6" t="n"/>
      <c r="I81" s="7" t="n"/>
      <c r="J81" s="8" t="n"/>
      <c r="K81" s="6" t="n"/>
      <c r="L81" s="9">
        <f>IF(OR(E81="",F81=""),"",ROUND(IF(D81="Short",E81-F81,F81-E81)*G81*H81-I81,2))</f>
        <v/>
      </c>
      <c r="M81" s="10">
        <f>IF(OR(L81="",N(J81)&lt;=0),"",L81/J81)</f>
        <v/>
      </c>
      <c r="N81" s="11">
        <f>IF(L81="","",IF(L81&gt;0,"Win",IF(L81&lt;0,"Loss","Flat")))</f>
        <v/>
      </c>
      <c r="O81" s="9">
        <f>IF(L81="","",SUM($L$2:L81))</f>
        <v/>
      </c>
      <c r="P81" s="9">
        <f>IF(L81="","",MAX(0,MAX($O$2:O81)))</f>
        <v/>
      </c>
      <c r="Q81" s="9">
        <f>IF(L81="","",P81-O81)</f>
        <v/>
      </c>
      <c r="S81">
        <f>IF(N81="Win",N(S80)+1,0)</f>
        <v/>
      </c>
      <c r="T81">
        <f>IF(N81="Loss",N(T80)+1,0)</f>
        <v/>
      </c>
    </row>
    <row r="82">
      <c r="A82" s="5" t="n"/>
      <c r="B82" s="6" t="n"/>
      <c r="C82" s="6" t="n"/>
      <c r="D82" s="6" t="n"/>
      <c r="E82" s="7" t="n"/>
      <c r="F82" s="7" t="n"/>
      <c r="G82" s="6" t="n"/>
      <c r="H82" s="6" t="n"/>
      <c r="I82" s="7" t="n"/>
      <c r="J82" s="8" t="n"/>
      <c r="K82" s="6" t="n"/>
      <c r="L82" s="9">
        <f>IF(OR(E82="",F82=""),"",ROUND(IF(D82="Short",E82-F82,F82-E82)*G82*H82-I82,2))</f>
        <v/>
      </c>
      <c r="M82" s="10">
        <f>IF(OR(L82="",N(J82)&lt;=0),"",L82/J82)</f>
        <v/>
      </c>
      <c r="N82" s="11">
        <f>IF(L82="","",IF(L82&gt;0,"Win",IF(L82&lt;0,"Loss","Flat")))</f>
        <v/>
      </c>
      <c r="O82" s="9">
        <f>IF(L82="","",SUM($L$2:L82))</f>
        <v/>
      </c>
      <c r="P82" s="9">
        <f>IF(L82="","",MAX(0,MAX($O$2:O82)))</f>
        <v/>
      </c>
      <c r="Q82" s="9">
        <f>IF(L82="","",P82-O82)</f>
        <v/>
      </c>
      <c r="S82">
        <f>IF(N82="Win",N(S81)+1,0)</f>
        <v/>
      </c>
      <c r="T82">
        <f>IF(N82="Loss",N(T81)+1,0)</f>
        <v/>
      </c>
    </row>
    <row r="83">
      <c r="A83" s="5" t="n"/>
      <c r="B83" s="6" t="n"/>
      <c r="C83" s="6" t="n"/>
      <c r="D83" s="6" t="n"/>
      <c r="E83" s="7" t="n"/>
      <c r="F83" s="7" t="n"/>
      <c r="G83" s="6" t="n"/>
      <c r="H83" s="6" t="n"/>
      <c r="I83" s="7" t="n"/>
      <c r="J83" s="8" t="n"/>
      <c r="K83" s="6" t="n"/>
      <c r="L83" s="9">
        <f>IF(OR(E83="",F83=""),"",ROUND(IF(D83="Short",E83-F83,F83-E83)*G83*H83-I83,2))</f>
        <v/>
      </c>
      <c r="M83" s="10">
        <f>IF(OR(L83="",N(J83)&lt;=0),"",L83/J83)</f>
        <v/>
      </c>
      <c r="N83" s="11">
        <f>IF(L83="","",IF(L83&gt;0,"Win",IF(L83&lt;0,"Loss","Flat")))</f>
        <v/>
      </c>
      <c r="O83" s="9">
        <f>IF(L83="","",SUM($L$2:L83))</f>
        <v/>
      </c>
      <c r="P83" s="9">
        <f>IF(L83="","",MAX(0,MAX($O$2:O83)))</f>
        <v/>
      </c>
      <c r="Q83" s="9">
        <f>IF(L83="","",P83-O83)</f>
        <v/>
      </c>
      <c r="S83">
        <f>IF(N83="Win",N(S82)+1,0)</f>
        <v/>
      </c>
      <c r="T83">
        <f>IF(N83="Loss",N(T82)+1,0)</f>
        <v/>
      </c>
    </row>
    <row r="84">
      <c r="A84" s="5" t="n"/>
      <c r="B84" s="6" t="n"/>
      <c r="C84" s="6" t="n"/>
      <c r="D84" s="6" t="n"/>
      <c r="E84" s="7" t="n"/>
      <c r="F84" s="7" t="n"/>
      <c r="G84" s="6" t="n"/>
      <c r="H84" s="6" t="n"/>
      <c r="I84" s="7" t="n"/>
      <c r="J84" s="8" t="n"/>
      <c r="K84" s="6" t="n"/>
      <c r="L84" s="9">
        <f>IF(OR(E84="",F84=""),"",ROUND(IF(D84="Short",E84-F84,F84-E84)*G84*H84-I84,2))</f>
        <v/>
      </c>
      <c r="M84" s="10">
        <f>IF(OR(L84="",N(J84)&lt;=0),"",L84/J84)</f>
        <v/>
      </c>
      <c r="N84" s="11">
        <f>IF(L84="","",IF(L84&gt;0,"Win",IF(L84&lt;0,"Loss","Flat")))</f>
        <v/>
      </c>
      <c r="O84" s="9">
        <f>IF(L84="","",SUM($L$2:L84))</f>
        <v/>
      </c>
      <c r="P84" s="9">
        <f>IF(L84="","",MAX(0,MAX($O$2:O84)))</f>
        <v/>
      </c>
      <c r="Q84" s="9">
        <f>IF(L84="","",P84-O84)</f>
        <v/>
      </c>
      <c r="S84">
        <f>IF(N84="Win",N(S83)+1,0)</f>
        <v/>
      </c>
      <c r="T84">
        <f>IF(N84="Loss",N(T83)+1,0)</f>
        <v/>
      </c>
    </row>
    <row r="85">
      <c r="A85" s="5" t="n"/>
      <c r="B85" s="6" t="n"/>
      <c r="C85" s="6" t="n"/>
      <c r="D85" s="6" t="n"/>
      <c r="E85" s="7" t="n"/>
      <c r="F85" s="7" t="n"/>
      <c r="G85" s="6" t="n"/>
      <c r="H85" s="6" t="n"/>
      <c r="I85" s="7" t="n"/>
      <c r="J85" s="8" t="n"/>
      <c r="K85" s="6" t="n"/>
      <c r="L85" s="9">
        <f>IF(OR(E85="",F85=""),"",ROUND(IF(D85="Short",E85-F85,F85-E85)*G85*H85-I85,2))</f>
        <v/>
      </c>
      <c r="M85" s="10">
        <f>IF(OR(L85="",N(J85)&lt;=0),"",L85/J85)</f>
        <v/>
      </c>
      <c r="N85" s="11">
        <f>IF(L85="","",IF(L85&gt;0,"Win",IF(L85&lt;0,"Loss","Flat")))</f>
        <v/>
      </c>
      <c r="O85" s="9">
        <f>IF(L85="","",SUM($L$2:L85))</f>
        <v/>
      </c>
      <c r="P85" s="9">
        <f>IF(L85="","",MAX(0,MAX($O$2:O85)))</f>
        <v/>
      </c>
      <c r="Q85" s="9">
        <f>IF(L85="","",P85-O85)</f>
        <v/>
      </c>
      <c r="S85">
        <f>IF(N85="Win",N(S84)+1,0)</f>
        <v/>
      </c>
      <c r="T85">
        <f>IF(N85="Loss",N(T84)+1,0)</f>
        <v/>
      </c>
    </row>
    <row r="86">
      <c r="A86" s="5" t="n"/>
      <c r="B86" s="6" t="n"/>
      <c r="C86" s="6" t="n"/>
      <c r="D86" s="6" t="n"/>
      <c r="E86" s="7" t="n"/>
      <c r="F86" s="7" t="n"/>
      <c r="G86" s="6" t="n"/>
      <c r="H86" s="6" t="n"/>
      <c r="I86" s="7" t="n"/>
      <c r="J86" s="8" t="n"/>
      <c r="K86" s="6" t="n"/>
      <c r="L86" s="9">
        <f>IF(OR(E86="",F86=""),"",ROUND(IF(D86="Short",E86-F86,F86-E86)*G86*H86-I86,2))</f>
        <v/>
      </c>
      <c r="M86" s="10">
        <f>IF(OR(L86="",N(J86)&lt;=0),"",L86/J86)</f>
        <v/>
      </c>
      <c r="N86" s="11">
        <f>IF(L86="","",IF(L86&gt;0,"Win",IF(L86&lt;0,"Loss","Flat")))</f>
        <v/>
      </c>
      <c r="O86" s="9">
        <f>IF(L86="","",SUM($L$2:L86))</f>
        <v/>
      </c>
      <c r="P86" s="9">
        <f>IF(L86="","",MAX(0,MAX($O$2:O86)))</f>
        <v/>
      </c>
      <c r="Q86" s="9">
        <f>IF(L86="","",P86-O86)</f>
        <v/>
      </c>
      <c r="S86">
        <f>IF(N86="Win",N(S85)+1,0)</f>
        <v/>
      </c>
      <c r="T86">
        <f>IF(N86="Loss",N(T85)+1,0)</f>
        <v/>
      </c>
    </row>
    <row r="87">
      <c r="A87" s="5" t="n"/>
      <c r="B87" s="6" t="n"/>
      <c r="C87" s="6" t="n"/>
      <c r="D87" s="6" t="n"/>
      <c r="E87" s="7" t="n"/>
      <c r="F87" s="7" t="n"/>
      <c r="G87" s="6" t="n"/>
      <c r="H87" s="6" t="n"/>
      <c r="I87" s="7" t="n"/>
      <c r="J87" s="8" t="n"/>
      <c r="K87" s="6" t="n"/>
      <c r="L87" s="9">
        <f>IF(OR(E87="",F87=""),"",ROUND(IF(D87="Short",E87-F87,F87-E87)*G87*H87-I87,2))</f>
        <v/>
      </c>
      <c r="M87" s="10">
        <f>IF(OR(L87="",N(J87)&lt;=0),"",L87/J87)</f>
        <v/>
      </c>
      <c r="N87" s="11">
        <f>IF(L87="","",IF(L87&gt;0,"Win",IF(L87&lt;0,"Loss","Flat")))</f>
        <v/>
      </c>
      <c r="O87" s="9">
        <f>IF(L87="","",SUM($L$2:L87))</f>
        <v/>
      </c>
      <c r="P87" s="9">
        <f>IF(L87="","",MAX(0,MAX($O$2:O87)))</f>
        <v/>
      </c>
      <c r="Q87" s="9">
        <f>IF(L87="","",P87-O87)</f>
        <v/>
      </c>
      <c r="S87">
        <f>IF(N87="Win",N(S86)+1,0)</f>
        <v/>
      </c>
      <c r="T87">
        <f>IF(N87="Loss",N(T86)+1,0)</f>
        <v/>
      </c>
    </row>
    <row r="88">
      <c r="A88" s="5" t="n"/>
      <c r="B88" s="6" t="n"/>
      <c r="C88" s="6" t="n"/>
      <c r="D88" s="6" t="n"/>
      <c r="E88" s="7" t="n"/>
      <c r="F88" s="7" t="n"/>
      <c r="G88" s="6" t="n"/>
      <c r="H88" s="6" t="n"/>
      <c r="I88" s="7" t="n"/>
      <c r="J88" s="8" t="n"/>
      <c r="K88" s="6" t="n"/>
      <c r="L88" s="9">
        <f>IF(OR(E88="",F88=""),"",ROUND(IF(D88="Short",E88-F88,F88-E88)*G88*H88-I88,2))</f>
        <v/>
      </c>
      <c r="M88" s="10">
        <f>IF(OR(L88="",N(J88)&lt;=0),"",L88/J88)</f>
        <v/>
      </c>
      <c r="N88" s="11">
        <f>IF(L88="","",IF(L88&gt;0,"Win",IF(L88&lt;0,"Loss","Flat")))</f>
        <v/>
      </c>
      <c r="O88" s="9">
        <f>IF(L88="","",SUM($L$2:L88))</f>
        <v/>
      </c>
      <c r="P88" s="9">
        <f>IF(L88="","",MAX(0,MAX($O$2:O88)))</f>
        <v/>
      </c>
      <c r="Q88" s="9">
        <f>IF(L88="","",P88-O88)</f>
        <v/>
      </c>
      <c r="S88">
        <f>IF(N88="Win",N(S87)+1,0)</f>
        <v/>
      </c>
      <c r="T88">
        <f>IF(N88="Loss",N(T87)+1,0)</f>
        <v/>
      </c>
    </row>
    <row r="89">
      <c r="A89" s="5" t="n"/>
      <c r="B89" s="6" t="n"/>
      <c r="C89" s="6" t="n"/>
      <c r="D89" s="6" t="n"/>
      <c r="E89" s="7" t="n"/>
      <c r="F89" s="7" t="n"/>
      <c r="G89" s="6" t="n"/>
      <c r="H89" s="6" t="n"/>
      <c r="I89" s="7" t="n"/>
      <c r="J89" s="8" t="n"/>
      <c r="K89" s="6" t="n"/>
      <c r="L89" s="9">
        <f>IF(OR(E89="",F89=""),"",ROUND(IF(D89="Short",E89-F89,F89-E89)*G89*H89-I89,2))</f>
        <v/>
      </c>
      <c r="M89" s="10">
        <f>IF(OR(L89="",N(J89)&lt;=0),"",L89/J89)</f>
        <v/>
      </c>
      <c r="N89" s="11">
        <f>IF(L89="","",IF(L89&gt;0,"Win",IF(L89&lt;0,"Loss","Flat")))</f>
        <v/>
      </c>
      <c r="O89" s="9">
        <f>IF(L89="","",SUM($L$2:L89))</f>
        <v/>
      </c>
      <c r="P89" s="9">
        <f>IF(L89="","",MAX(0,MAX($O$2:O89)))</f>
        <v/>
      </c>
      <c r="Q89" s="9">
        <f>IF(L89="","",P89-O89)</f>
        <v/>
      </c>
      <c r="S89">
        <f>IF(N89="Win",N(S88)+1,0)</f>
        <v/>
      </c>
      <c r="T89">
        <f>IF(N89="Loss",N(T88)+1,0)</f>
        <v/>
      </c>
    </row>
    <row r="90">
      <c r="A90" s="5" t="n"/>
      <c r="B90" s="6" t="n"/>
      <c r="C90" s="6" t="n"/>
      <c r="D90" s="6" t="n"/>
      <c r="E90" s="7" t="n"/>
      <c r="F90" s="7" t="n"/>
      <c r="G90" s="6" t="n"/>
      <c r="H90" s="6" t="n"/>
      <c r="I90" s="7" t="n"/>
      <c r="J90" s="8" t="n"/>
      <c r="K90" s="6" t="n"/>
      <c r="L90" s="9">
        <f>IF(OR(E90="",F90=""),"",ROUND(IF(D90="Short",E90-F90,F90-E90)*G90*H90-I90,2))</f>
        <v/>
      </c>
      <c r="M90" s="10">
        <f>IF(OR(L90="",N(J90)&lt;=0),"",L90/J90)</f>
        <v/>
      </c>
      <c r="N90" s="11">
        <f>IF(L90="","",IF(L90&gt;0,"Win",IF(L90&lt;0,"Loss","Flat")))</f>
        <v/>
      </c>
      <c r="O90" s="9">
        <f>IF(L90="","",SUM($L$2:L90))</f>
        <v/>
      </c>
      <c r="P90" s="9">
        <f>IF(L90="","",MAX(0,MAX($O$2:O90)))</f>
        <v/>
      </c>
      <c r="Q90" s="9">
        <f>IF(L90="","",P90-O90)</f>
        <v/>
      </c>
      <c r="S90">
        <f>IF(N90="Win",N(S89)+1,0)</f>
        <v/>
      </c>
      <c r="T90">
        <f>IF(N90="Loss",N(T89)+1,0)</f>
        <v/>
      </c>
    </row>
    <row r="91">
      <c r="A91" s="5" t="n"/>
      <c r="B91" s="6" t="n"/>
      <c r="C91" s="6" t="n"/>
      <c r="D91" s="6" t="n"/>
      <c r="E91" s="7" t="n"/>
      <c r="F91" s="7" t="n"/>
      <c r="G91" s="6" t="n"/>
      <c r="H91" s="6" t="n"/>
      <c r="I91" s="7" t="n"/>
      <c r="J91" s="8" t="n"/>
      <c r="K91" s="6" t="n"/>
      <c r="L91" s="9">
        <f>IF(OR(E91="",F91=""),"",ROUND(IF(D91="Short",E91-F91,F91-E91)*G91*H91-I91,2))</f>
        <v/>
      </c>
      <c r="M91" s="10">
        <f>IF(OR(L91="",N(J91)&lt;=0),"",L91/J91)</f>
        <v/>
      </c>
      <c r="N91" s="11">
        <f>IF(L91="","",IF(L91&gt;0,"Win",IF(L91&lt;0,"Loss","Flat")))</f>
        <v/>
      </c>
      <c r="O91" s="9">
        <f>IF(L91="","",SUM($L$2:L91))</f>
        <v/>
      </c>
      <c r="P91" s="9">
        <f>IF(L91="","",MAX(0,MAX($O$2:O91)))</f>
        <v/>
      </c>
      <c r="Q91" s="9">
        <f>IF(L91="","",P91-O91)</f>
        <v/>
      </c>
      <c r="S91">
        <f>IF(N91="Win",N(S90)+1,0)</f>
        <v/>
      </c>
      <c r="T91">
        <f>IF(N91="Loss",N(T90)+1,0)</f>
        <v/>
      </c>
    </row>
    <row r="92">
      <c r="A92" s="5" t="n"/>
      <c r="B92" s="6" t="n"/>
      <c r="C92" s="6" t="n"/>
      <c r="D92" s="6" t="n"/>
      <c r="E92" s="7" t="n"/>
      <c r="F92" s="7" t="n"/>
      <c r="G92" s="6" t="n"/>
      <c r="H92" s="6" t="n"/>
      <c r="I92" s="7" t="n"/>
      <c r="J92" s="8" t="n"/>
      <c r="K92" s="6" t="n"/>
      <c r="L92" s="9">
        <f>IF(OR(E92="",F92=""),"",ROUND(IF(D92="Short",E92-F92,F92-E92)*G92*H92-I92,2))</f>
        <v/>
      </c>
      <c r="M92" s="10">
        <f>IF(OR(L92="",N(J92)&lt;=0),"",L92/J92)</f>
        <v/>
      </c>
      <c r="N92" s="11">
        <f>IF(L92="","",IF(L92&gt;0,"Win",IF(L92&lt;0,"Loss","Flat")))</f>
        <v/>
      </c>
      <c r="O92" s="9">
        <f>IF(L92="","",SUM($L$2:L92))</f>
        <v/>
      </c>
      <c r="P92" s="9">
        <f>IF(L92="","",MAX(0,MAX($O$2:O92)))</f>
        <v/>
      </c>
      <c r="Q92" s="9">
        <f>IF(L92="","",P92-O92)</f>
        <v/>
      </c>
      <c r="S92">
        <f>IF(N92="Win",N(S91)+1,0)</f>
        <v/>
      </c>
      <c r="T92">
        <f>IF(N92="Loss",N(T91)+1,0)</f>
        <v/>
      </c>
    </row>
    <row r="93">
      <c r="A93" s="5" t="n"/>
      <c r="B93" s="6" t="n"/>
      <c r="C93" s="6" t="n"/>
      <c r="D93" s="6" t="n"/>
      <c r="E93" s="7" t="n"/>
      <c r="F93" s="7" t="n"/>
      <c r="G93" s="6" t="n"/>
      <c r="H93" s="6" t="n"/>
      <c r="I93" s="7" t="n"/>
      <c r="J93" s="8" t="n"/>
      <c r="K93" s="6" t="n"/>
      <c r="L93" s="9">
        <f>IF(OR(E93="",F93=""),"",ROUND(IF(D93="Short",E93-F93,F93-E93)*G93*H93-I93,2))</f>
        <v/>
      </c>
      <c r="M93" s="10">
        <f>IF(OR(L93="",N(J93)&lt;=0),"",L93/J93)</f>
        <v/>
      </c>
      <c r="N93" s="11">
        <f>IF(L93="","",IF(L93&gt;0,"Win",IF(L93&lt;0,"Loss","Flat")))</f>
        <v/>
      </c>
      <c r="O93" s="9">
        <f>IF(L93="","",SUM($L$2:L93))</f>
        <v/>
      </c>
      <c r="P93" s="9">
        <f>IF(L93="","",MAX(0,MAX($O$2:O93)))</f>
        <v/>
      </c>
      <c r="Q93" s="9">
        <f>IF(L93="","",P93-O93)</f>
        <v/>
      </c>
      <c r="S93">
        <f>IF(N93="Win",N(S92)+1,0)</f>
        <v/>
      </c>
      <c r="T93">
        <f>IF(N93="Loss",N(T92)+1,0)</f>
        <v/>
      </c>
    </row>
    <row r="94">
      <c r="A94" s="5" t="n"/>
      <c r="B94" s="6" t="n"/>
      <c r="C94" s="6" t="n"/>
      <c r="D94" s="6" t="n"/>
      <c r="E94" s="7" t="n"/>
      <c r="F94" s="7" t="n"/>
      <c r="G94" s="6" t="n"/>
      <c r="H94" s="6" t="n"/>
      <c r="I94" s="7" t="n"/>
      <c r="J94" s="8" t="n"/>
      <c r="K94" s="6" t="n"/>
      <c r="L94" s="9">
        <f>IF(OR(E94="",F94=""),"",ROUND(IF(D94="Short",E94-F94,F94-E94)*G94*H94-I94,2))</f>
        <v/>
      </c>
      <c r="M94" s="10">
        <f>IF(OR(L94="",N(J94)&lt;=0),"",L94/J94)</f>
        <v/>
      </c>
      <c r="N94" s="11">
        <f>IF(L94="","",IF(L94&gt;0,"Win",IF(L94&lt;0,"Loss","Flat")))</f>
        <v/>
      </c>
      <c r="O94" s="9">
        <f>IF(L94="","",SUM($L$2:L94))</f>
        <v/>
      </c>
      <c r="P94" s="9">
        <f>IF(L94="","",MAX(0,MAX($O$2:O94)))</f>
        <v/>
      </c>
      <c r="Q94" s="9">
        <f>IF(L94="","",P94-O94)</f>
        <v/>
      </c>
      <c r="S94">
        <f>IF(N94="Win",N(S93)+1,0)</f>
        <v/>
      </c>
      <c r="T94">
        <f>IF(N94="Loss",N(T93)+1,0)</f>
        <v/>
      </c>
    </row>
    <row r="95">
      <c r="A95" s="5" t="n"/>
      <c r="B95" s="6" t="n"/>
      <c r="C95" s="6" t="n"/>
      <c r="D95" s="6" t="n"/>
      <c r="E95" s="7" t="n"/>
      <c r="F95" s="7" t="n"/>
      <c r="G95" s="6" t="n"/>
      <c r="H95" s="6" t="n"/>
      <c r="I95" s="7" t="n"/>
      <c r="J95" s="8" t="n"/>
      <c r="K95" s="6" t="n"/>
      <c r="L95" s="9">
        <f>IF(OR(E95="",F95=""),"",ROUND(IF(D95="Short",E95-F95,F95-E95)*G95*H95-I95,2))</f>
        <v/>
      </c>
      <c r="M95" s="10">
        <f>IF(OR(L95="",N(J95)&lt;=0),"",L95/J95)</f>
        <v/>
      </c>
      <c r="N95" s="11">
        <f>IF(L95="","",IF(L95&gt;0,"Win",IF(L95&lt;0,"Loss","Flat")))</f>
        <v/>
      </c>
      <c r="O95" s="9">
        <f>IF(L95="","",SUM($L$2:L95))</f>
        <v/>
      </c>
      <c r="P95" s="9">
        <f>IF(L95="","",MAX(0,MAX($O$2:O95)))</f>
        <v/>
      </c>
      <c r="Q95" s="9">
        <f>IF(L95="","",P95-O95)</f>
        <v/>
      </c>
      <c r="S95">
        <f>IF(N95="Win",N(S94)+1,0)</f>
        <v/>
      </c>
      <c r="T95">
        <f>IF(N95="Loss",N(T94)+1,0)</f>
        <v/>
      </c>
    </row>
    <row r="96">
      <c r="A96" s="5" t="n"/>
      <c r="B96" s="6" t="n"/>
      <c r="C96" s="6" t="n"/>
      <c r="D96" s="6" t="n"/>
      <c r="E96" s="7" t="n"/>
      <c r="F96" s="7" t="n"/>
      <c r="G96" s="6" t="n"/>
      <c r="H96" s="6" t="n"/>
      <c r="I96" s="7" t="n"/>
      <c r="J96" s="8" t="n"/>
      <c r="K96" s="6" t="n"/>
      <c r="L96" s="9">
        <f>IF(OR(E96="",F96=""),"",ROUND(IF(D96="Short",E96-F96,F96-E96)*G96*H96-I96,2))</f>
        <v/>
      </c>
      <c r="M96" s="10">
        <f>IF(OR(L96="",N(J96)&lt;=0),"",L96/J96)</f>
        <v/>
      </c>
      <c r="N96" s="11">
        <f>IF(L96="","",IF(L96&gt;0,"Win",IF(L96&lt;0,"Loss","Flat")))</f>
        <v/>
      </c>
      <c r="O96" s="9">
        <f>IF(L96="","",SUM($L$2:L96))</f>
        <v/>
      </c>
      <c r="P96" s="9">
        <f>IF(L96="","",MAX(0,MAX($O$2:O96)))</f>
        <v/>
      </c>
      <c r="Q96" s="9">
        <f>IF(L96="","",P96-O96)</f>
        <v/>
      </c>
      <c r="S96">
        <f>IF(N96="Win",N(S95)+1,0)</f>
        <v/>
      </c>
      <c r="T96">
        <f>IF(N96="Loss",N(T95)+1,0)</f>
        <v/>
      </c>
    </row>
    <row r="97">
      <c r="A97" s="5" t="n"/>
      <c r="B97" s="6" t="n"/>
      <c r="C97" s="6" t="n"/>
      <c r="D97" s="6" t="n"/>
      <c r="E97" s="7" t="n"/>
      <c r="F97" s="7" t="n"/>
      <c r="G97" s="6" t="n"/>
      <c r="H97" s="6" t="n"/>
      <c r="I97" s="7" t="n"/>
      <c r="J97" s="8" t="n"/>
      <c r="K97" s="6" t="n"/>
      <c r="L97" s="9">
        <f>IF(OR(E97="",F97=""),"",ROUND(IF(D97="Short",E97-F97,F97-E97)*G97*H97-I97,2))</f>
        <v/>
      </c>
      <c r="M97" s="10">
        <f>IF(OR(L97="",N(J97)&lt;=0),"",L97/J97)</f>
        <v/>
      </c>
      <c r="N97" s="11">
        <f>IF(L97="","",IF(L97&gt;0,"Win",IF(L97&lt;0,"Loss","Flat")))</f>
        <v/>
      </c>
      <c r="O97" s="9">
        <f>IF(L97="","",SUM($L$2:L97))</f>
        <v/>
      </c>
      <c r="P97" s="9">
        <f>IF(L97="","",MAX(0,MAX($O$2:O97)))</f>
        <v/>
      </c>
      <c r="Q97" s="9">
        <f>IF(L97="","",P97-O97)</f>
        <v/>
      </c>
      <c r="S97">
        <f>IF(N97="Win",N(S96)+1,0)</f>
        <v/>
      </c>
      <c r="T97">
        <f>IF(N97="Loss",N(T96)+1,0)</f>
        <v/>
      </c>
    </row>
    <row r="98">
      <c r="A98" s="5" t="n"/>
      <c r="B98" s="6" t="n"/>
      <c r="C98" s="6" t="n"/>
      <c r="D98" s="6" t="n"/>
      <c r="E98" s="7" t="n"/>
      <c r="F98" s="7" t="n"/>
      <c r="G98" s="6" t="n"/>
      <c r="H98" s="6" t="n"/>
      <c r="I98" s="7" t="n"/>
      <c r="J98" s="8" t="n"/>
      <c r="K98" s="6" t="n"/>
      <c r="L98" s="9">
        <f>IF(OR(E98="",F98=""),"",ROUND(IF(D98="Short",E98-F98,F98-E98)*G98*H98-I98,2))</f>
        <v/>
      </c>
      <c r="M98" s="10">
        <f>IF(OR(L98="",N(J98)&lt;=0),"",L98/J98)</f>
        <v/>
      </c>
      <c r="N98" s="11">
        <f>IF(L98="","",IF(L98&gt;0,"Win",IF(L98&lt;0,"Loss","Flat")))</f>
        <v/>
      </c>
      <c r="O98" s="9">
        <f>IF(L98="","",SUM($L$2:L98))</f>
        <v/>
      </c>
      <c r="P98" s="9">
        <f>IF(L98="","",MAX(0,MAX($O$2:O98)))</f>
        <v/>
      </c>
      <c r="Q98" s="9">
        <f>IF(L98="","",P98-O98)</f>
        <v/>
      </c>
      <c r="S98">
        <f>IF(N98="Win",N(S97)+1,0)</f>
        <v/>
      </c>
      <c r="T98">
        <f>IF(N98="Loss",N(T97)+1,0)</f>
        <v/>
      </c>
    </row>
    <row r="99">
      <c r="A99" s="5" t="n"/>
      <c r="B99" s="6" t="n"/>
      <c r="C99" s="6" t="n"/>
      <c r="D99" s="6" t="n"/>
      <c r="E99" s="7" t="n"/>
      <c r="F99" s="7" t="n"/>
      <c r="G99" s="6" t="n"/>
      <c r="H99" s="6" t="n"/>
      <c r="I99" s="7" t="n"/>
      <c r="J99" s="8" t="n"/>
      <c r="K99" s="6" t="n"/>
      <c r="L99" s="9">
        <f>IF(OR(E99="",F99=""),"",ROUND(IF(D99="Short",E99-F99,F99-E99)*G99*H99-I99,2))</f>
        <v/>
      </c>
      <c r="M99" s="10">
        <f>IF(OR(L99="",N(J99)&lt;=0),"",L99/J99)</f>
        <v/>
      </c>
      <c r="N99" s="11">
        <f>IF(L99="","",IF(L99&gt;0,"Win",IF(L99&lt;0,"Loss","Flat")))</f>
        <v/>
      </c>
      <c r="O99" s="9">
        <f>IF(L99="","",SUM($L$2:L99))</f>
        <v/>
      </c>
      <c r="P99" s="9">
        <f>IF(L99="","",MAX(0,MAX($O$2:O99)))</f>
        <v/>
      </c>
      <c r="Q99" s="9">
        <f>IF(L99="","",P99-O99)</f>
        <v/>
      </c>
      <c r="S99">
        <f>IF(N99="Win",N(S98)+1,0)</f>
        <v/>
      </c>
      <c r="T99">
        <f>IF(N99="Loss",N(T98)+1,0)</f>
        <v/>
      </c>
    </row>
    <row r="100">
      <c r="A100" s="5" t="n"/>
      <c r="B100" s="6" t="n"/>
      <c r="C100" s="6" t="n"/>
      <c r="D100" s="6" t="n"/>
      <c r="E100" s="7" t="n"/>
      <c r="F100" s="7" t="n"/>
      <c r="G100" s="6" t="n"/>
      <c r="H100" s="6" t="n"/>
      <c r="I100" s="7" t="n"/>
      <c r="J100" s="8" t="n"/>
      <c r="K100" s="6" t="n"/>
      <c r="L100" s="9">
        <f>IF(OR(E100="",F100=""),"",ROUND(IF(D100="Short",E100-F100,F100-E100)*G100*H100-I100,2))</f>
        <v/>
      </c>
      <c r="M100" s="10">
        <f>IF(OR(L100="",N(J100)&lt;=0),"",L100/J100)</f>
        <v/>
      </c>
      <c r="N100" s="11">
        <f>IF(L100="","",IF(L100&gt;0,"Win",IF(L100&lt;0,"Loss","Flat")))</f>
        <v/>
      </c>
      <c r="O100" s="9">
        <f>IF(L100="","",SUM($L$2:L100))</f>
        <v/>
      </c>
      <c r="P100" s="9">
        <f>IF(L100="","",MAX(0,MAX($O$2:O100)))</f>
        <v/>
      </c>
      <c r="Q100" s="9">
        <f>IF(L100="","",P100-O100)</f>
        <v/>
      </c>
      <c r="S100">
        <f>IF(N100="Win",N(S99)+1,0)</f>
        <v/>
      </c>
      <c r="T100">
        <f>IF(N100="Loss",N(T99)+1,0)</f>
        <v/>
      </c>
    </row>
    <row r="101">
      <c r="A101" s="5" t="n"/>
      <c r="B101" s="6" t="n"/>
      <c r="C101" s="6" t="n"/>
      <c r="D101" s="6" t="n"/>
      <c r="E101" s="7" t="n"/>
      <c r="F101" s="7" t="n"/>
      <c r="G101" s="6" t="n"/>
      <c r="H101" s="6" t="n"/>
      <c r="I101" s="7" t="n"/>
      <c r="J101" s="8" t="n"/>
      <c r="K101" s="6" t="n"/>
      <c r="L101" s="9">
        <f>IF(OR(E101="",F101=""),"",ROUND(IF(D101="Short",E101-F101,F101-E101)*G101*H101-I101,2))</f>
        <v/>
      </c>
      <c r="M101" s="10">
        <f>IF(OR(L101="",N(J101)&lt;=0),"",L101/J101)</f>
        <v/>
      </c>
      <c r="N101" s="11">
        <f>IF(L101="","",IF(L101&gt;0,"Win",IF(L101&lt;0,"Loss","Flat")))</f>
        <v/>
      </c>
      <c r="O101" s="9">
        <f>IF(L101="","",SUM($L$2:L101))</f>
        <v/>
      </c>
      <c r="P101" s="9">
        <f>IF(L101="","",MAX(0,MAX($O$2:O101)))</f>
        <v/>
      </c>
      <c r="Q101" s="9">
        <f>IF(L101="","",P101-O101)</f>
        <v/>
      </c>
      <c r="S101">
        <f>IF(N101="Win",N(S100)+1,0)</f>
        <v/>
      </c>
      <c r="T101">
        <f>IF(N101="Loss",N(T100)+1,0)</f>
        <v/>
      </c>
    </row>
    <row r="102">
      <c r="A102" s="5" t="n"/>
      <c r="B102" s="6" t="n"/>
      <c r="C102" s="6" t="n"/>
      <c r="D102" s="6" t="n"/>
      <c r="E102" s="7" t="n"/>
      <c r="F102" s="7" t="n"/>
      <c r="G102" s="6" t="n"/>
      <c r="H102" s="6" t="n"/>
      <c r="I102" s="7" t="n"/>
      <c r="J102" s="8" t="n"/>
      <c r="K102" s="6" t="n"/>
      <c r="L102" s="9">
        <f>IF(OR(E102="",F102=""),"",ROUND(IF(D102="Short",E102-F102,F102-E102)*G102*H102-I102,2))</f>
        <v/>
      </c>
      <c r="M102" s="10">
        <f>IF(OR(L102="",N(J102)&lt;=0),"",L102/J102)</f>
        <v/>
      </c>
      <c r="N102" s="11">
        <f>IF(L102="","",IF(L102&gt;0,"Win",IF(L102&lt;0,"Loss","Flat")))</f>
        <v/>
      </c>
      <c r="O102" s="9">
        <f>IF(L102="","",SUM($L$2:L102))</f>
        <v/>
      </c>
      <c r="P102" s="9">
        <f>IF(L102="","",MAX(0,MAX($O$2:O102)))</f>
        <v/>
      </c>
      <c r="Q102" s="9">
        <f>IF(L102="","",P102-O102)</f>
        <v/>
      </c>
      <c r="S102">
        <f>IF(N102="Win",N(S101)+1,0)</f>
        <v/>
      </c>
      <c r="T102">
        <f>IF(N102="Loss",N(T101)+1,0)</f>
        <v/>
      </c>
    </row>
    <row r="103">
      <c r="A103" s="5" t="n"/>
      <c r="B103" s="6" t="n"/>
      <c r="C103" s="6" t="n"/>
      <c r="D103" s="6" t="n"/>
      <c r="E103" s="7" t="n"/>
      <c r="F103" s="7" t="n"/>
      <c r="G103" s="6" t="n"/>
      <c r="H103" s="6" t="n"/>
      <c r="I103" s="7" t="n"/>
      <c r="J103" s="8" t="n"/>
      <c r="K103" s="6" t="n"/>
      <c r="L103" s="9">
        <f>IF(OR(E103="",F103=""),"",ROUND(IF(D103="Short",E103-F103,F103-E103)*G103*H103-I103,2))</f>
        <v/>
      </c>
      <c r="M103" s="10">
        <f>IF(OR(L103="",N(J103)&lt;=0),"",L103/J103)</f>
        <v/>
      </c>
      <c r="N103" s="11">
        <f>IF(L103="","",IF(L103&gt;0,"Win",IF(L103&lt;0,"Loss","Flat")))</f>
        <v/>
      </c>
      <c r="O103" s="9">
        <f>IF(L103="","",SUM($L$2:L103))</f>
        <v/>
      </c>
      <c r="P103" s="9">
        <f>IF(L103="","",MAX(0,MAX($O$2:O103)))</f>
        <v/>
      </c>
      <c r="Q103" s="9">
        <f>IF(L103="","",P103-O103)</f>
        <v/>
      </c>
      <c r="S103">
        <f>IF(N103="Win",N(S102)+1,0)</f>
        <v/>
      </c>
      <c r="T103">
        <f>IF(N103="Loss",N(T102)+1,0)</f>
        <v/>
      </c>
    </row>
    <row r="104">
      <c r="A104" s="5" t="n"/>
      <c r="B104" s="6" t="n"/>
      <c r="C104" s="6" t="n"/>
      <c r="D104" s="6" t="n"/>
      <c r="E104" s="7" t="n"/>
      <c r="F104" s="7" t="n"/>
      <c r="G104" s="6" t="n"/>
      <c r="H104" s="6" t="n"/>
      <c r="I104" s="7" t="n"/>
      <c r="J104" s="8" t="n"/>
      <c r="K104" s="6" t="n"/>
      <c r="L104" s="9">
        <f>IF(OR(E104="",F104=""),"",ROUND(IF(D104="Short",E104-F104,F104-E104)*G104*H104-I104,2))</f>
        <v/>
      </c>
      <c r="M104" s="10">
        <f>IF(OR(L104="",N(J104)&lt;=0),"",L104/J104)</f>
        <v/>
      </c>
      <c r="N104" s="11">
        <f>IF(L104="","",IF(L104&gt;0,"Win",IF(L104&lt;0,"Loss","Flat")))</f>
        <v/>
      </c>
      <c r="O104" s="9">
        <f>IF(L104="","",SUM($L$2:L104))</f>
        <v/>
      </c>
      <c r="P104" s="9">
        <f>IF(L104="","",MAX(0,MAX($O$2:O104)))</f>
        <v/>
      </c>
      <c r="Q104" s="9">
        <f>IF(L104="","",P104-O104)</f>
        <v/>
      </c>
      <c r="S104">
        <f>IF(N104="Win",N(S103)+1,0)</f>
        <v/>
      </c>
      <c r="T104">
        <f>IF(N104="Loss",N(T103)+1,0)</f>
        <v/>
      </c>
    </row>
    <row r="105">
      <c r="A105" s="5" t="n"/>
      <c r="B105" s="6" t="n"/>
      <c r="C105" s="6" t="n"/>
      <c r="D105" s="6" t="n"/>
      <c r="E105" s="7" t="n"/>
      <c r="F105" s="7" t="n"/>
      <c r="G105" s="6" t="n"/>
      <c r="H105" s="6" t="n"/>
      <c r="I105" s="7" t="n"/>
      <c r="J105" s="8" t="n"/>
      <c r="K105" s="6" t="n"/>
      <c r="L105" s="9">
        <f>IF(OR(E105="",F105=""),"",ROUND(IF(D105="Short",E105-F105,F105-E105)*G105*H105-I105,2))</f>
        <v/>
      </c>
      <c r="M105" s="10">
        <f>IF(OR(L105="",N(J105)&lt;=0),"",L105/J105)</f>
        <v/>
      </c>
      <c r="N105" s="11">
        <f>IF(L105="","",IF(L105&gt;0,"Win",IF(L105&lt;0,"Loss","Flat")))</f>
        <v/>
      </c>
      <c r="O105" s="9">
        <f>IF(L105="","",SUM($L$2:L105))</f>
        <v/>
      </c>
      <c r="P105" s="9">
        <f>IF(L105="","",MAX(0,MAX($O$2:O105)))</f>
        <v/>
      </c>
      <c r="Q105" s="9">
        <f>IF(L105="","",P105-O105)</f>
        <v/>
      </c>
      <c r="S105">
        <f>IF(N105="Win",N(S104)+1,0)</f>
        <v/>
      </c>
      <c r="T105">
        <f>IF(N105="Loss",N(T104)+1,0)</f>
        <v/>
      </c>
    </row>
    <row r="106">
      <c r="A106" s="5" t="n"/>
      <c r="B106" s="6" t="n"/>
      <c r="C106" s="6" t="n"/>
      <c r="D106" s="6" t="n"/>
      <c r="E106" s="7" t="n"/>
      <c r="F106" s="7" t="n"/>
      <c r="G106" s="6" t="n"/>
      <c r="H106" s="6" t="n"/>
      <c r="I106" s="7" t="n"/>
      <c r="J106" s="8" t="n"/>
      <c r="K106" s="6" t="n"/>
      <c r="L106" s="9">
        <f>IF(OR(E106="",F106=""),"",ROUND(IF(D106="Short",E106-F106,F106-E106)*G106*H106-I106,2))</f>
        <v/>
      </c>
      <c r="M106" s="10">
        <f>IF(OR(L106="",N(J106)&lt;=0),"",L106/J106)</f>
        <v/>
      </c>
      <c r="N106" s="11">
        <f>IF(L106="","",IF(L106&gt;0,"Win",IF(L106&lt;0,"Loss","Flat")))</f>
        <v/>
      </c>
      <c r="O106" s="9">
        <f>IF(L106="","",SUM($L$2:L106))</f>
        <v/>
      </c>
      <c r="P106" s="9">
        <f>IF(L106="","",MAX(0,MAX($O$2:O106)))</f>
        <v/>
      </c>
      <c r="Q106" s="9">
        <f>IF(L106="","",P106-O106)</f>
        <v/>
      </c>
      <c r="S106">
        <f>IF(N106="Win",N(S105)+1,0)</f>
        <v/>
      </c>
      <c r="T106">
        <f>IF(N106="Loss",N(T105)+1,0)</f>
        <v/>
      </c>
    </row>
    <row r="107">
      <c r="A107" s="5" t="n"/>
      <c r="B107" s="6" t="n"/>
      <c r="C107" s="6" t="n"/>
      <c r="D107" s="6" t="n"/>
      <c r="E107" s="7" t="n"/>
      <c r="F107" s="7" t="n"/>
      <c r="G107" s="6" t="n"/>
      <c r="H107" s="6" t="n"/>
      <c r="I107" s="7" t="n"/>
      <c r="J107" s="8" t="n"/>
      <c r="K107" s="6" t="n"/>
      <c r="L107" s="9">
        <f>IF(OR(E107="",F107=""),"",ROUND(IF(D107="Short",E107-F107,F107-E107)*G107*H107-I107,2))</f>
        <v/>
      </c>
      <c r="M107" s="10">
        <f>IF(OR(L107="",N(J107)&lt;=0),"",L107/J107)</f>
        <v/>
      </c>
      <c r="N107" s="11">
        <f>IF(L107="","",IF(L107&gt;0,"Win",IF(L107&lt;0,"Loss","Flat")))</f>
        <v/>
      </c>
      <c r="O107" s="9">
        <f>IF(L107="","",SUM($L$2:L107))</f>
        <v/>
      </c>
      <c r="P107" s="9">
        <f>IF(L107="","",MAX(0,MAX($O$2:O107)))</f>
        <v/>
      </c>
      <c r="Q107" s="9">
        <f>IF(L107="","",P107-O107)</f>
        <v/>
      </c>
      <c r="S107">
        <f>IF(N107="Win",N(S106)+1,0)</f>
        <v/>
      </c>
      <c r="T107">
        <f>IF(N107="Loss",N(T106)+1,0)</f>
        <v/>
      </c>
    </row>
    <row r="108">
      <c r="A108" s="5" t="n"/>
      <c r="B108" s="6" t="n"/>
      <c r="C108" s="6" t="n"/>
      <c r="D108" s="6" t="n"/>
      <c r="E108" s="7" t="n"/>
      <c r="F108" s="7" t="n"/>
      <c r="G108" s="6" t="n"/>
      <c r="H108" s="6" t="n"/>
      <c r="I108" s="7" t="n"/>
      <c r="J108" s="8" t="n"/>
      <c r="K108" s="6" t="n"/>
      <c r="L108" s="9">
        <f>IF(OR(E108="",F108=""),"",ROUND(IF(D108="Short",E108-F108,F108-E108)*G108*H108-I108,2))</f>
        <v/>
      </c>
      <c r="M108" s="10">
        <f>IF(OR(L108="",N(J108)&lt;=0),"",L108/J108)</f>
        <v/>
      </c>
      <c r="N108" s="11">
        <f>IF(L108="","",IF(L108&gt;0,"Win",IF(L108&lt;0,"Loss","Flat")))</f>
        <v/>
      </c>
      <c r="O108" s="9">
        <f>IF(L108="","",SUM($L$2:L108))</f>
        <v/>
      </c>
      <c r="P108" s="9">
        <f>IF(L108="","",MAX(0,MAX($O$2:O108)))</f>
        <v/>
      </c>
      <c r="Q108" s="9">
        <f>IF(L108="","",P108-O108)</f>
        <v/>
      </c>
      <c r="S108">
        <f>IF(N108="Win",N(S107)+1,0)</f>
        <v/>
      </c>
      <c r="T108">
        <f>IF(N108="Loss",N(T107)+1,0)</f>
        <v/>
      </c>
    </row>
    <row r="109">
      <c r="A109" s="5" t="n"/>
      <c r="B109" s="6" t="n"/>
      <c r="C109" s="6" t="n"/>
      <c r="D109" s="6" t="n"/>
      <c r="E109" s="7" t="n"/>
      <c r="F109" s="7" t="n"/>
      <c r="G109" s="6" t="n"/>
      <c r="H109" s="6" t="n"/>
      <c r="I109" s="7" t="n"/>
      <c r="J109" s="8" t="n"/>
      <c r="K109" s="6" t="n"/>
      <c r="L109" s="9">
        <f>IF(OR(E109="",F109=""),"",ROUND(IF(D109="Short",E109-F109,F109-E109)*G109*H109-I109,2))</f>
        <v/>
      </c>
      <c r="M109" s="10">
        <f>IF(OR(L109="",N(J109)&lt;=0),"",L109/J109)</f>
        <v/>
      </c>
      <c r="N109" s="11">
        <f>IF(L109="","",IF(L109&gt;0,"Win",IF(L109&lt;0,"Loss","Flat")))</f>
        <v/>
      </c>
      <c r="O109" s="9">
        <f>IF(L109="","",SUM($L$2:L109))</f>
        <v/>
      </c>
      <c r="P109" s="9">
        <f>IF(L109="","",MAX(0,MAX($O$2:O109)))</f>
        <v/>
      </c>
      <c r="Q109" s="9">
        <f>IF(L109="","",P109-O109)</f>
        <v/>
      </c>
      <c r="S109">
        <f>IF(N109="Win",N(S108)+1,0)</f>
        <v/>
      </c>
      <c r="T109">
        <f>IF(N109="Loss",N(T108)+1,0)</f>
        <v/>
      </c>
    </row>
    <row r="110">
      <c r="A110" s="5" t="n"/>
      <c r="B110" s="6" t="n"/>
      <c r="C110" s="6" t="n"/>
      <c r="D110" s="6" t="n"/>
      <c r="E110" s="7" t="n"/>
      <c r="F110" s="7" t="n"/>
      <c r="G110" s="6" t="n"/>
      <c r="H110" s="6" t="n"/>
      <c r="I110" s="7" t="n"/>
      <c r="J110" s="8" t="n"/>
      <c r="K110" s="6" t="n"/>
      <c r="L110" s="9">
        <f>IF(OR(E110="",F110=""),"",ROUND(IF(D110="Short",E110-F110,F110-E110)*G110*H110-I110,2))</f>
        <v/>
      </c>
      <c r="M110" s="10">
        <f>IF(OR(L110="",N(J110)&lt;=0),"",L110/J110)</f>
        <v/>
      </c>
      <c r="N110" s="11">
        <f>IF(L110="","",IF(L110&gt;0,"Win",IF(L110&lt;0,"Loss","Flat")))</f>
        <v/>
      </c>
      <c r="O110" s="9">
        <f>IF(L110="","",SUM($L$2:L110))</f>
        <v/>
      </c>
      <c r="P110" s="9">
        <f>IF(L110="","",MAX(0,MAX($O$2:O110)))</f>
        <v/>
      </c>
      <c r="Q110" s="9">
        <f>IF(L110="","",P110-O110)</f>
        <v/>
      </c>
      <c r="S110">
        <f>IF(N110="Win",N(S109)+1,0)</f>
        <v/>
      </c>
      <c r="T110">
        <f>IF(N110="Loss",N(T109)+1,0)</f>
        <v/>
      </c>
    </row>
    <row r="111">
      <c r="A111" s="5" t="n"/>
      <c r="B111" s="6" t="n"/>
      <c r="C111" s="6" t="n"/>
      <c r="D111" s="6" t="n"/>
      <c r="E111" s="7" t="n"/>
      <c r="F111" s="7" t="n"/>
      <c r="G111" s="6" t="n"/>
      <c r="H111" s="6" t="n"/>
      <c r="I111" s="7" t="n"/>
      <c r="J111" s="8" t="n"/>
      <c r="K111" s="6" t="n"/>
      <c r="L111" s="9">
        <f>IF(OR(E111="",F111=""),"",ROUND(IF(D111="Short",E111-F111,F111-E111)*G111*H111-I111,2))</f>
        <v/>
      </c>
      <c r="M111" s="10">
        <f>IF(OR(L111="",N(J111)&lt;=0),"",L111/J111)</f>
        <v/>
      </c>
      <c r="N111" s="11">
        <f>IF(L111="","",IF(L111&gt;0,"Win",IF(L111&lt;0,"Loss","Flat")))</f>
        <v/>
      </c>
      <c r="O111" s="9">
        <f>IF(L111="","",SUM($L$2:L111))</f>
        <v/>
      </c>
      <c r="P111" s="9">
        <f>IF(L111="","",MAX(0,MAX($O$2:O111)))</f>
        <v/>
      </c>
      <c r="Q111" s="9">
        <f>IF(L111="","",P111-O111)</f>
        <v/>
      </c>
      <c r="S111">
        <f>IF(N111="Win",N(S110)+1,0)</f>
        <v/>
      </c>
      <c r="T111">
        <f>IF(N111="Loss",N(T110)+1,0)</f>
        <v/>
      </c>
    </row>
    <row r="112">
      <c r="A112" s="5" t="n"/>
      <c r="B112" s="6" t="n"/>
      <c r="C112" s="6" t="n"/>
      <c r="D112" s="6" t="n"/>
      <c r="E112" s="7" t="n"/>
      <c r="F112" s="7" t="n"/>
      <c r="G112" s="6" t="n"/>
      <c r="H112" s="6" t="n"/>
      <c r="I112" s="7" t="n"/>
      <c r="J112" s="8" t="n"/>
      <c r="K112" s="6" t="n"/>
      <c r="L112" s="9">
        <f>IF(OR(E112="",F112=""),"",ROUND(IF(D112="Short",E112-F112,F112-E112)*G112*H112-I112,2))</f>
        <v/>
      </c>
      <c r="M112" s="10">
        <f>IF(OR(L112="",N(J112)&lt;=0),"",L112/J112)</f>
        <v/>
      </c>
      <c r="N112" s="11">
        <f>IF(L112="","",IF(L112&gt;0,"Win",IF(L112&lt;0,"Loss","Flat")))</f>
        <v/>
      </c>
      <c r="O112" s="9">
        <f>IF(L112="","",SUM($L$2:L112))</f>
        <v/>
      </c>
      <c r="P112" s="9">
        <f>IF(L112="","",MAX(0,MAX($O$2:O112)))</f>
        <v/>
      </c>
      <c r="Q112" s="9">
        <f>IF(L112="","",P112-O112)</f>
        <v/>
      </c>
      <c r="S112">
        <f>IF(N112="Win",N(S111)+1,0)</f>
        <v/>
      </c>
      <c r="T112">
        <f>IF(N112="Loss",N(T111)+1,0)</f>
        <v/>
      </c>
    </row>
    <row r="113">
      <c r="A113" s="5" t="n"/>
      <c r="B113" s="6" t="n"/>
      <c r="C113" s="6" t="n"/>
      <c r="D113" s="6" t="n"/>
      <c r="E113" s="7" t="n"/>
      <c r="F113" s="7" t="n"/>
      <c r="G113" s="6" t="n"/>
      <c r="H113" s="6" t="n"/>
      <c r="I113" s="7" t="n"/>
      <c r="J113" s="8" t="n"/>
      <c r="K113" s="6" t="n"/>
      <c r="L113" s="9">
        <f>IF(OR(E113="",F113=""),"",ROUND(IF(D113="Short",E113-F113,F113-E113)*G113*H113-I113,2))</f>
        <v/>
      </c>
      <c r="M113" s="10">
        <f>IF(OR(L113="",N(J113)&lt;=0),"",L113/J113)</f>
        <v/>
      </c>
      <c r="N113" s="11">
        <f>IF(L113="","",IF(L113&gt;0,"Win",IF(L113&lt;0,"Loss","Flat")))</f>
        <v/>
      </c>
      <c r="O113" s="9">
        <f>IF(L113="","",SUM($L$2:L113))</f>
        <v/>
      </c>
      <c r="P113" s="9">
        <f>IF(L113="","",MAX(0,MAX($O$2:O113)))</f>
        <v/>
      </c>
      <c r="Q113" s="9">
        <f>IF(L113="","",P113-O113)</f>
        <v/>
      </c>
      <c r="S113">
        <f>IF(N113="Win",N(S112)+1,0)</f>
        <v/>
      </c>
      <c r="T113">
        <f>IF(N113="Loss",N(T112)+1,0)</f>
        <v/>
      </c>
    </row>
    <row r="114">
      <c r="A114" s="5" t="n"/>
      <c r="B114" s="6" t="n"/>
      <c r="C114" s="6" t="n"/>
      <c r="D114" s="6" t="n"/>
      <c r="E114" s="7" t="n"/>
      <c r="F114" s="7" t="n"/>
      <c r="G114" s="6" t="n"/>
      <c r="H114" s="6" t="n"/>
      <c r="I114" s="7" t="n"/>
      <c r="J114" s="8" t="n"/>
      <c r="K114" s="6" t="n"/>
      <c r="L114" s="9">
        <f>IF(OR(E114="",F114=""),"",ROUND(IF(D114="Short",E114-F114,F114-E114)*G114*H114-I114,2))</f>
        <v/>
      </c>
      <c r="M114" s="10">
        <f>IF(OR(L114="",N(J114)&lt;=0),"",L114/J114)</f>
        <v/>
      </c>
      <c r="N114" s="11">
        <f>IF(L114="","",IF(L114&gt;0,"Win",IF(L114&lt;0,"Loss","Flat")))</f>
        <v/>
      </c>
      <c r="O114" s="9">
        <f>IF(L114="","",SUM($L$2:L114))</f>
        <v/>
      </c>
      <c r="P114" s="9">
        <f>IF(L114="","",MAX(0,MAX($O$2:O114)))</f>
        <v/>
      </c>
      <c r="Q114" s="9">
        <f>IF(L114="","",P114-O114)</f>
        <v/>
      </c>
      <c r="S114">
        <f>IF(N114="Win",N(S113)+1,0)</f>
        <v/>
      </c>
      <c r="T114">
        <f>IF(N114="Loss",N(T113)+1,0)</f>
        <v/>
      </c>
    </row>
    <row r="115">
      <c r="A115" s="5" t="n"/>
      <c r="B115" s="6" t="n"/>
      <c r="C115" s="6" t="n"/>
      <c r="D115" s="6" t="n"/>
      <c r="E115" s="7" t="n"/>
      <c r="F115" s="7" t="n"/>
      <c r="G115" s="6" t="n"/>
      <c r="H115" s="6" t="n"/>
      <c r="I115" s="7" t="n"/>
      <c r="J115" s="8" t="n"/>
      <c r="K115" s="6" t="n"/>
      <c r="L115" s="9">
        <f>IF(OR(E115="",F115=""),"",ROUND(IF(D115="Short",E115-F115,F115-E115)*G115*H115-I115,2))</f>
        <v/>
      </c>
      <c r="M115" s="10">
        <f>IF(OR(L115="",N(J115)&lt;=0),"",L115/J115)</f>
        <v/>
      </c>
      <c r="N115" s="11">
        <f>IF(L115="","",IF(L115&gt;0,"Win",IF(L115&lt;0,"Loss","Flat")))</f>
        <v/>
      </c>
      <c r="O115" s="9">
        <f>IF(L115="","",SUM($L$2:L115))</f>
        <v/>
      </c>
      <c r="P115" s="9">
        <f>IF(L115="","",MAX(0,MAX($O$2:O115)))</f>
        <v/>
      </c>
      <c r="Q115" s="9">
        <f>IF(L115="","",P115-O115)</f>
        <v/>
      </c>
      <c r="S115">
        <f>IF(N115="Win",N(S114)+1,0)</f>
        <v/>
      </c>
      <c r="T115">
        <f>IF(N115="Loss",N(T114)+1,0)</f>
        <v/>
      </c>
    </row>
    <row r="116">
      <c r="A116" s="5" t="n"/>
      <c r="B116" s="6" t="n"/>
      <c r="C116" s="6" t="n"/>
      <c r="D116" s="6" t="n"/>
      <c r="E116" s="7" t="n"/>
      <c r="F116" s="7" t="n"/>
      <c r="G116" s="6" t="n"/>
      <c r="H116" s="6" t="n"/>
      <c r="I116" s="7" t="n"/>
      <c r="J116" s="8" t="n"/>
      <c r="K116" s="6" t="n"/>
      <c r="L116" s="9">
        <f>IF(OR(E116="",F116=""),"",ROUND(IF(D116="Short",E116-F116,F116-E116)*G116*H116-I116,2))</f>
        <v/>
      </c>
      <c r="M116" s="10">
        <f>IF(OR(L116="",N(J116)&lt;=0),"",L116/J116)</f>
        <v/>
      </c>
      <c r="N116" s="11">
        <f>IF(L116="","",IF(L116&gt;0,"Win",IF(L116&lt;0,"Loss","Flat")))</f>
        <v/>
      </c>
      <c r="O116" s="9">
        <f>IF(L116="","",SUM($L$2:L116))</f>
        <v/>
      </c>
      <c r="P116" s="9">
        <f>IF(L116="","",MAX(0,MAX($O$2:O116)))</f>
        <v/>
      </c>
      <c r="Q116" s="9">
        <f>IF(L116="","",P116-O116)</f>
        <v/>
      </c>
      <c r="S116">
        <f>IF(N116="Win",N(S115)+1,0)</f>
        <v/>
      </c>
      <c r="T116">
        <f>IF(N116="Loss",N(T115)+1,0)</f>
        <v/>
      </c>
    </row>
    <row r="117">
      <c r="A117" s="5" t="n"/>
      <c r="B117" s="6" t="n"/>
      <c r="C117" s="6" t="n"/>
      <c r="D117" s="6" t="n"/>
      <c r="E117" s="7" t="n"/>
      <c r="F117" s="7" t="n"/>
      <c r="G117" s="6" t="n"/>
      <c r="H117" s="6" t="n"/>
      <c r="I117" s="7" t="n"/>
      <c r="J117" s="8" t="n"/>
      <c r="K117" s="6" t="n"/>
      <c r="L117" s="9">
        <f>IF(OR(E117="",F117=""),"",ROUND(IF(D117="Short",E117-F117,F117-E117)*G117*H117-I117,2))</f>
        <v/>
      </c>
      <c r="M117" s="10">
        <f>IF(OR(L117="",N(J117)&lt;=0),"",L117/J117)</f>
        <v/>
      </c>
      <c r="N117" s="11">
        <f>IF(L117="","",IF(L117&gt;0,"Win",IF(L117&lt;0,"Loss","Flat")))</f>
        <v/>
      </c>
      <c r="O117" s="9">
        <f>IF(L117="","",SUM($L$2:L117))</f>
        <v/>
      </c>
      <c r="P117" s="9">
        <f>IF(L117="","",MAX(0,MAX($O$2:O117)))</f>
        <v/>
      </c>
      <c r="Q117" s="9">
        <f>IF(L117="","",P117-O117)</f>
        <v/>
      </c>
      <c r="S117">
        <f>IF(N117="Win",N(S116)+1,0)</f>
        <v/>
      </c>
      <c r="T117">
        <f>IF(N117="Loss",N(T116)+1,0)</f>
        <v/>
      </c>
    </row>
    <row r="118">
      <c r="A118" s="5" t="n"/>
      <c r="B118" s="6" t="n"/>
      <c r="C118" s="6" t="n"/>
      <c r="D118" s="6" t="n"/>
      <c r="E118" s="7" t="n"/>
      <c r="F118" s="7" t="n"/>
      <c r="G118" s="6" t="n"/>
      <c r="H118" s="6" t="n"/>
      <c r="I118" s="7" t="n"/>
      <c r="J118" s="8" t="n"/>
      <c r="K118" s="6" t="n"/>
      <c r="L118" s="9">
        <f>IF(OR(E118="",F118=""),"",ROUND(IF(D118="Short",E118-F118,F118-E118)*G118*H118-I118,2))</f>
        <v/>
      </c>
      <c r="M118" s="10">
        <f>IF(OR(L118="",N(J118)&lt;=0),"",L118/J118)</f>
        <v/>
      </c>
      <c r="N118" s="11">
        <f>IF(L118="","",IF(L118&gt;0,"Win",IF(L118&lt;0,"Loss","Flat")))</f>
        <v/>
      </c>
      <c r="O118" s="9">
        <f>IF(L118="","",SUM($L$2:L118))</f>
        <v/>
      </c>
      <c r="P118" s="9">
        <f>IF(L118="","",MAX(0,MAX($O$2:O118)))</f>
        <v/>
      </c>
      <c r="Q118" s="9">
        <f>IF(L118="","",P118-O118)</f>
        <v/>
      </c>
      <c r="S118">
        <f>IF(N118="Win",N(S117)+1,0)</f>
        <v/>
      </c>
      <c r="T118">
        <f>IF(N118="Loss",N(T117)+1,0)</f>
        <v/>
      </c>
    </row>
    <row r="119">
      <c r="A119" s="5" t="n"/>
      <c r="B119" s="6" t="n"/>
      <c r="C119" s="6" t="n"/>
      <c r="D119" s="6" t="n"/>
      <c r="E119" s="7" t="n"/>
      <c r="F119" s="7" t="n"/>
      <c r="G119" s="6" t="n"/>
      <c r="H119" s="6" t="n"/>
      <c r="I119" s="7" t="n"/>
      <c r="J119" s="8" t="n"/>
      <c r="K119" s="6" t="n"/>
      <c r="L119" s="9">
        <f>IF(OR(E119="",F119=""),"",ROUND(IF(D119="Short",E119-F119,F119-E119)*G119*H119-I119,2))</f>
        <v/>
      </c>
      <c r="M119" s="10">
        <f>IF(OR(L119="",N(J119)&lt;=0),"",L119/J119)</f>
        <v/>
      </c>
      <c r="N119" s="11">
        <f>IF(L119="","",IF(L119&gt;0,"Win",IF(L119&lt;0,"Loss","Flat")))</f>
        <v/>
      </c>
      <c r="O119" s="9">
        <f>IF(L119="","",SUM($L$2:L119))</f>
        <v/>
      </c>
      <c r="P119" s="9">
        <f>IF(L119="","",MAX(0,MAX($O$2:O119)))</f>
        <v/>
      </c>
      <c r="Q119" s="9">
        <f>IF(L119="","",P119-O119)</f>
        <v/>
      </c>
      <c r="S119">
        <f>IF(N119="Win",N(S118)+1,0)</f>
        <v/>
      </c>
      <c r="T119">
        <f>IF(N119="Loss",N(T118)+1,0)</f>
        <v/>
      </c>
    </row>
    <row r="120">
      <c r="A120" s="5" t="n"/>
      <c r="B120" s="6" t="n"/>
      <c r="C120" s="6" t="n"/>
      <c r="D120" s="6" t="n"/>
      <c r="E120" s="7" t="n"/>
      <c r="F120" s="7" t="n"/>
      <c r="G120" s="6" t="n"/>
      <c r="H120" s="6" t="n"/>
      <c r="I120" s="7" t="n"/>
      <c r="J120" s="8" t="n"/>
      <c r="K120" s="6" t="n"/>
      <c r="L120" s="9">
        <f>IF(OR(E120="",F120=""),"",ROUND(IF(D120="Short",E120-F120,F120-E120)*G120*H120-I120,2))</f>
        <v/>
      </c>
      <c r="M120" s="10">
        <f>IF(OR(L120="",N(J120)&lt;=0),"",L120/J120)</f>
        <v/>
      </c>
      <c r="N120" s="11">
        <f>IF(L120="","",IF(L120&gt;0,"Win",IF(L120&lt;0,"Loss","Flat")))</f>
        <v/>
      </c>
      <c r="O120" s="9">
        <f>IF(L120="","",SUM($L$2:L120))</f>
        <v/>
      </c>
      <c r="P120" s="9">
        <f>IF(L120="","",MAX(0,MAX($O$2:O120)))</f>
        <v/>
      </c>
      <c r="Q120" s="9">
        <f>IF(L120="","",P120-O120)</f>
        <v/>
      </c>
      <c r="S120">
        <f>IF(N120="Win",N(S119)+1,0)</f>
        <v/>
      </c>
      <c r="T120">
        <f>IF(N120="Loss",N(T119)+1,0)</f>
        <v/>
      </c>
    </row>
    <row r="121">
      <c r="A121" s="5" t="n"/>
      <c r="B121" s="6" t="n"/>
      <c r="C121" s="6" t="n"/>
      <c r="D121" s="6" t="n"/>
      <c r="E121" s="7" t="n"/>
      <c r="F121" s="7" t="n"/>
      <c r="G121" s="6" t="n"/>
      <c r="H121" s="6" t="n"/>
      <c r="I121" s="7" t="n"/>
      <c r="J121" s="8" t="n"/>
      <c r="K121" s="6" t="n"/>
      <c r="L121" s="9">
        <f>IF(OR(E121="",F121=""),"",ROUND(IF(D121="Short",E121-F121,F121-E121)*G121*H121-I121,2))</f>
        <v/>
      </c>
      <c r="M121" s="10">
        <f>IF(OR(L121="",N(J121)&lt;=0),"",L121/J121)</f>
        <v/>
      </c>
      <c r="N121" s="11">
        <f>IF(L121="","",IF(L121&gt;0,"Win",IF(L121&lt;0,"Loss","Flat")))</f>
        <v/>
      </c>
      <c r="O121" s="9">
        <f>IF(L121="","",SUM($L$2:L121))</f>
        <v/>
      </c>
      <c r="P121" s="9">
        <f>IF(L121="","",MAX(0,MAX($O$2:O121)))</f>
        <v/>
      </c>
      <c r="Q121" s="9">
        <f>IF(L121="","",P121-O121)</f>
        <v/>
      </c>
      <c r="S121">
        <f>IF(N121="Win",N(S120)+1,0)</f>
        <v/>
      </c>
      <c r="T121">
        <f>IF(N121="Loss",N(T120)+1,0)</f>
        <v/>
      </c>
    </row>
    <row r="122">
      <c r="A122" s="5" t="n"/>
      <c r="B122" s="6" t="n"/>
      <c r="C122" s="6" t="n"/>
      <c r="D122" s="6" t="n"/>
      <c r="E122" s="7" t="n"/>
      <c r="F122" s="7" t="n"/>
      <c r="G122" s="6" t="n"/>
      <c r="H122" s="6" t="n"/>
      <c r="I122" s="7" t="n"/>
      <c r="J122" s="8" t="n"/>
      <c r="K122" s="6" t="n"/>
      <c r="L122" s="9">
        <f>IF(OR(E122="",F122=""),"",ROUND(IF(D122="Short",E122-F122,F122-E122)*G122*H122-I122,2))</f>
        <v/>
      </c>
      <c r="M122" s="10">
        <f>IF(OR(L122="",N(J122)&lt;=0),"",L122/J122)</f>
        <v/>
      </c>
      <c r="N122" s="11">
        <f>IF(L122="","",IF(L122&gt;0,"Win",IF(L122&lt;0,"Loss","Flat")))</f>
        <v/>
      </c>
      <c r="O122" s="9">
        <f>IF(L122="","",SUM($L$2:L122))</f>
        <v/>
      </c>
      <c r="P122" s="9">
        <f>IF(L122="","",MAX(0,MAX($O$2:O122)))</f>
        <v/>
      </c>
      <c r="Q122" s="9">
        <f>IF(L122="","",P122-O122)</f>
        <v/>
      </c>
      <c r="S122">
        <f>IF(N122="Win",N(S121)+1,0)</f>
        <v/>
      </c>
      <c r="T122">
        <f>IF(N122="Loss",N(T121)+1,0)</f>
        <v/>
      </c>
    </row>
    <row r="123">
      <c r="A123" s="5" t="n"/>
      <c r="B123" s="6" t="n"/>
      <c r="C123" s="6" t="n"/>
      <c r="D123" s="6" t="n"/>
      <c r="E123" s="7" t="n"/>
      <c r="F123" s="7" t="n"/>
      <c r="G123" s="6" t="n"/>
      <c r="H123" s="6" t="n"/>
      <c r="I123" s="7" t="n"/>
      <c r="J123" s="8" t="n"/>
      <c r="K123" s="6" t="n"/>
      <c r="L123" s="9">
        <f>IF(OR(E123="",F123=""),"",ROUND(IF(D123="Short",E123-F123,F123-E123)*G123*H123-I123,2))</f>
        <v/>
      </c>
      <c r="M123" s="10">
        <f>IF(OR(L123="",N(J123)&lt;=0),"",L123/J123)</f>
        <v/>
      </c>
      <c r="N123" s="11">
        <f>IF(L123="","",IF(L123&gt;0,"Win",IF(L123&lt;0,"Loss","Flat")))</f>
        <v/>
      </c>
      <c r="O123" s="9">
        <f>IF(L123="","",SUM($L$2:L123))</f>
        <v/>
      </c>
      <c r="P123" s="9">
        <f>IF(L123="","",MAX(0,MAX($O$2:O123)))</f>
        <v/>
      </c>
      <c r="Q123" s="9">
        <f>IF(L123="","",P123-O123)</f>
        <v/>
      </c>
      <c r="S123">
        <f>IF(N123="Win",N(S122)+1,0)</f>
        <v/>
      </c>
      <c r="T123">
        <f>IF(N123="Loss",N(T122)+1,0)</f>
        <v/>
      </c>
    </row>
    <row r="124">
      <c r="A124" s="5" t="n"/>
      <c r="B124" s="6" t="n"/>
      <c r="C124" s="6" t="n"/>
      <c r="D124" s="6" t="n"/>
      <c r="E124" s="7" t="n"/>
      <c r="F124" s="7" t="n"/>
      <c r="G124" s="6" t="n"/>
      <c r="H124" s="6" t="n"/>
      <c r="I124" s="7" t="n"/>
      <c r="J124" s="8" t="n"/>
      <c r="K124" s="6" t="n"/>
      <c r="L124" s="9">
        <f>IF(OR(E124="",F124=""),"",ROUND(IF(D124="Short",E124-F124,F124-E124)*G124*H124-I124,2))</f>
        <v/>
      </c>
      <c r="M124" s="10">
        <f>IF(OR(L124="",N(J124)&lt;=0),"",L124/J124)</f>
        <v/>
      </c>
      <c r="N124" s="11">
        <f>IF(L124="","",IF(L124&gt;0,"Win",IF(L124&lt;0,"Loss","Flat")))</f>
        <v/>
      </c>
      <c r="O124" s="9">
        <f>IF(L124="","",SUM($L$2:L124))</f>
        <v/>
      </c>
      <c r="P124" s="9">
        <f>IF(L124="","",MAX(0,MAX($O$2:O124)))</f>
        <v/>
      </c>
      <c r="Q124" s="9">
        <f>IF(L124="","",P124-O124)</f>
        <v/>
      </c>
      <c r="S124">
        <f>IF(N124="Win",N(S123)+1,0)</f>
        <v/>
      </c>
      <c r="T124">
        <f>IF(N124="Loss",N(T123)+1,0)</f>
        <v/>
      </c>
    </row>
    <row r="125">
      <c r="A125" s="5" t="n"/>
      <c r="B125" s="6" t="n"/>
      <c r="C125" s="6" t="n"/>
      <c r="D125" s="6" t="n"/>
      <c r="E125" s="7" t="n"/>
      <c r="F125" s="7" t="n"/>
      <c r="G125" s="6" t="n"/>
      <c r="H125" s="6" t="n"/>
      <c r="I125" s="7" t="n"/>
      <c r="J125" s="8" t="n"/>
      <c r="K125" s="6" t="n"/>
      <c r="L125" s="9">
        <f>IF(OR(E125="",F125=""),"",ROUND(IF(D125="Short",E125-F125,F125-E125)*G125*H125-I125,2))</f>
        <v/>
      </c>
      <c r="M125" s="10">
        <f>IF(OR(L125="",N(J125)&lt;=0),"",L125/J125)</f>
        <v/>
      </c>
      <c r="N125" s="11">
        <f>IF(L125="","",IF(L125&gt;0,"Win",IF(L125&lt;0,"Loss","Flat")))</f>
        <v/>
      </c>
      <c r="O125" s="9">
        <f>IF(L125="","",SUM($L$2:L125))</f>
        <v/>
      </c>
      <c r="P125" s="9">
        <f>IF(L125="","",MAX(0,MAX($O$2:O125)))</f>
        <v/>
      </c>
      <c r="Q125" s="9">
        <f>IF(L125="","",P125-O125)</f>
        <v/>
      </c>
      <c r="S125">
        <f>IF(N125="Win",N(S124)+1,0)</f>
        <v/>
      </c>
      <c r="T125">
        <f>IF(N125="Loss",N(T124)+1,0)</f>
        <v/>
      </c>
    </row>
    <row r="126">
      <c r="A126" s="5" t="n"/>
      <c r="B126" s="6" t="n"/>
      <c r="C126" s="6" t="n"/>
      <c r="D126" s="6" t="n"/>
      <c r="E126" s="7" t="n"/>
      <c r="F126" s="7" t="n"/>
      <c r="G126" s="6" t="n"/>
      <c r="H126" s="6" t="n"/>
      <c r="I126" s="7" t="n"/>
      <c r="J126" s="8" t="n"/>
      <c r="K126" s="6" t="n"/>
      <c r="L126" s="9">
        <f>IF(OR(E126="",F126=""),"",ROUND(IF(D126="Short",E126-F126,F126-E126)*G126*H126-I126,2))</f>
        <v/>
      </c>
      <c r="M126" s="10">
        <f>IF(OR(L126="",N(J126)&lt;=0),"",L126/J126)</f>
        <v/>
      </c>
      <c r="N126" s="11">
        <f>IF(L126="","",IF(L126&gt;0,"Win",IF(L126&lt;0,"Loss","Flat")))</f>
        <v/>
      </c>
      <c r="O126" s="9">
        <f>IF(L126="","",SUM($L$2:L126))</f>
        <v/>
      </c>
      <c r="P126" s="9">
        <f>IF(L126="","",MAX(0,MAX($O$2:O126)))</f>
        <v/>
      </c>
      <c r="Q126" s="9">
        <f>IF(L126="","",P126-O126)</f>
        <v/>
      </c>
      <c r="S126">
        <f>IF(N126="Win",N(S125)+1,0)</f>
        <v/>
      </c>
      <c r="T126">
        <f>IF(N126="Loss",N(T125)+1,0)</f>
        <v/>
      </c>
    </row>
    <row r="127">
      <c r="A127" s="5" t="n"/>
      <c r="B127" s="6" t="n"/>
      <c r="C127" s="6" t="n"/>
      <c r="D127" s="6" t="n"/>
      <c r="E127" s="7" t="n"/>
      <c r="F127" s="7" t="n"/>
      <c r="G127" s="6" t="n"/>
      <c r="H127" s="6" t="n"/>
      <c r="I127" s="7" t="n"/>
      <c r="J127" s="8" t="n"/>
      <c r="K127" s="6" t="n"/>
      <c r="L127" s="9">
        <f>IF(OR(E127="",F127=""),"",ROUND(IF(D127="Short",E127-F127,F127-E127)*G127*H127-I127,2))</f>
        <v/>
      </c>
      <c r="M127" s="10">
        <f>IF(OR(L127="",N(J127)&lt;=0),"",L127/J127)</f>
        <v/>
      </c>
      <c r="N127" s="11">
        <f>IF(L127="","",IF(L127&gt;0,"Win",IF(L127&lt;0,"Loss","Flat")))</f>
        <v/>
      </c>
      <c r="O127" s="9">
        <f>IF(L127="","",SUM($L$2:L127))</f>
        <v/>
      </c>
      <c r="P127" s="9">
        <f>IF(L127="","",MAX(0,MAX($O$2:O127)))</f>
        <v/>
      </c>
      <c r="Q127" s="9">
        <f>IF(L127="","",P127-O127)</f>
        <v/>
      </c>
      <c r="S127">
        <f>IF(N127="Win",N(S126)+1,0)</f>
        <v/>
      </c>
      <c r="T127">
        <f>IF(N127="Loss",N(T126)+1,0)</f>
        <v/>
      </c>
    </row>
    <row r="128">
      <c r="A128" s="5" t="n"/>
      <c r="B128" s="6" t="n"/>
      <c r="C128" s="6" t="n"/>
      <c r="D128" s="6" t="n"/>
      <c r="E128" s="7" t="n"/>
      <c r="F128" s="7" t="n"/>
      <c r="G128" s="6" t="n"/>
      <c r="H128" s="6" t="n"/>
      <c r="I128" s="7" t="n"/>
      <c r="J128" s="8" t="n"/>
      <c r="K128" s="6" t="n"/>
      <c r="L128" s="9">
        <f>IF(OR(E128="",F128=""),"",ROUND(IF(D128="Short",E128-F128,F128-E128)*G128*H128-I128,2))</f>
        <v/>
      </c>
      <c r="M128" s="10">
        <f>IF(OR(L128="",N(J128)&lt;=0),"",L128/J128)</f>
        <v/>
      </c>
      <c r="N128" s="11">
        <f>IF(L128="","",IF(L128&gt;0,"Win",IF(L128&lt;0,"Loss","Flat")))</f>
        <v/>
      </c>
      <c r="O128" s="9">
        <f>IF(L128="","",SUM($L$2:L128))</f>
        <v/>
      </c>
      <c r="P128" s="9">
        <f>IF(L128="","",MAX(0,MAX($O$2:O128)))</f>
        <v/>
      </c>
      <c r="Q128" s="9">
        <f>IF(L128="","",P128-O128)</f>
        <v/>
      </c>
      <c r="S128">
        <f>IF(N128="Win",N(S127)+1,0)</f>
        <v/>
      </c>
      <c r="T128">
        <f>IF(N128="Loss",N(T127)+1,0)</f>
        <v/>
      </c>
    </row>
    <row r="129">
      <c r="A129" s="5" t="n"/>
      <c r="B129" s="6" t="n"/>
      <c r="C129" s="6" t="n"/>
      <c r="D129" s="6" t="n"/>
      <c r="E129" s="7" t="n"/>
      <c r="F129" s="7" t="n"/>
      <c r="G129" s="6" t="n"/>
      <c r="H129" s="6" t="n"/>
      <c r="I129" s="7" t="n"/>
      <c r="J129" s="8" t="n"/>
      <c r="K129" s="6" t="n"/>
      <c r="L129" s="9">
        <f>IF(OR(E129="",F129=""),"",ROUND(IF(D129="Short",E129-F129,F129-E129)*G129*H129-I129,2))</f>
        <v/>
      </c>
      <c r="M129" s="10">
        <f>IF(OR(L129="",N(J129)&lt;=0),"",L129/J129)</f>
        <v/>
      </c>
      <c r="N129" s="11">
        <f>IF(L129="","",IF(L129&gt;0,"Win",IF(L129&lt;0,"Loss","Flat")))</f>
        <v/>
      </c>
      <c r="O129" s="9">
        <f>IF(L129="","",SUM($L$2:L129))</f>
        <v/>
      </c>
      <c r="P129" s="9">
        <f>IF(L129="","",MAX(0,MAX($O$2:O129)))</f>
        <v/>
      </c>
      <c r="Q129" s="9">
        <f>IF(L129="","",P129-O129)</f>
        <v/>
      </c>
      <c r="S129">
        <f>IF(N129="Win",N(S128)+1,0)</f>
        <v/>
      </c>
      <c r="T129">
        <f>IF(N129="Loss",N(T128)+1,0)</f>
        <v/>
      </c>
    </row>
    <row r="130">
      <c r="A130" s="5" t="n"/>
      <c r="B130" s="6" t="n"/>
      <c r="C130" s="6" t="n"/>
      <c r="D130" s="6" t="n"/>
      <c r="E130" s="7" t="n"/>
      <c r="F130" s="7" t="n"/>
      <c r="G130" s="6" t="n"/>
      <c r="H130" s="6" t="n"/>
      <c r="I130" s="7" t="n"/>
      <c r="J130" s="8" t="n"/>
      <c r="K130" s="6" t="n"/>
      <c r="L130" s="9">
        <f>IF(OR(E130="",F130=""),"",ROUND(IF(D130="Short",E130-F130,F130-E130)*G130*H130-I130,2))</f>
        <v/>
      </c>
      <c r="M130" s="10">
        <f>IF(OR(L130="",N(J130)&lt;=0),"",L130/J130)</f>
        <v/>
      </c>
      <c r="N130" s="11">
        <f>IF(L130="","",IF(L130&gt;0,"Win",IF(L130&lt;0,"Loss","Flat")))</f>
        <v/>
      </c>
      <c r="O130" s="9">
        <f>IF(L130="","",SUM($L$2:L130))</f>
        <v/>
      </c>
      <c r="P130" s="9">
        <f>IF(L130="","",MAX(0,MAX($O$2:O130)))</f>
        <v/>
      </c>
      <c r="Q130" s="9">
        <f>IF(L130="","",P130-O130)</f>
        <v/>
      </c>
      <c r="S130">
        <f>IF(N130="Win",N(S129)+1,0)</f>
        <v/>
      </c>
      <c r="T130">
        <f>IF(N130="Loss",N(T129)+1,0)</f>
        <v/>
      </c>
    </row>
    <row r="131">
      <c r="A131" s="5" t="n"/>
      <c r="B131" s="6" t="n"/>
      <c r="C131" s="6" t="n"/>
      <c r="D131" s="6" t="n"/>
      <c r="E131" s="7" t="n"/>
      <c r="F131" s="7" t="n"/>
      <c r="G131" s="6" t="n"/>
      <c r="H131" s="6" t="n"/>
      <c r="I131" s="7" t="n"/>
      <c r="J131" s="8" t="n"/>
      <c r="K131" s="6" t="n"/>
      <c r="L131" s="9">
        <f>IF(OR(E131="",F131=""),"",ROUND(IF(D131="Short",E131-F131,F131-E131)*G131*H131-I131,2))</f>
        <v/>
      </c>
      <c r="M131" s="10">
        <f>IF(OR(L131="",N(J131)&lt;=0),"",L131/J131)</f>
        <v/>
      </c>
      <c r="N131" s="11">
        <f>IF(L131="","",IF(L131&gt;0,"Win",IF(L131&lt;0,"Loss","Flat")))</f>
        <v/>
      </c>
      <c r="O131" s="9">
        <f>IF(L131="","",SUM($L$2:L131))</f>
        <v/>
      </c>
      <c r="P131" s="9">
        <f>IF(L131="","",MAX(0,MAX($O$2:O131)))</f>
        <v/>
      </c>
      <c r="Q131" s="9">
        <f>IF(L131="","",P131-O131)</f>
        <v/>
      </c>
      <c r="S131">
        <f>IF(N131="Win",N(S130)+1,0)</f>
        <v/>
      </c>
      <c r="T131">
        <f>IF(N131="Loss",N(T130)+1,0)</f>
        <v/>
      </c>
    </row>
    <row r="132">
      <c r="A132" s="5" t="n"/>
      <c r="B132" s="6" t="n"/>
      <c r="C132" s="6" t="n"/>
      <c r="D132" s="6" t="n"/>
      <c r="E132" s="7" t="n"/>
      <c r="F132" s="7" t="n"/>
      <c r="G132" s="6" t="n"/>
      <c r="H132" s="6" t="n"/>
      <c r="I132" s="7" t="n"/>
      <c r="J132" s="8" t="n"/>
      <c r="K132" s="6" t="n"/>
      <c r="L132" s="9">
        <f>IF(OR(E132="",F132=""),"",ROUND(IF(D132="Short",E132-F132,F132-E132)*G132*H132-I132,2))</f>
        <v/>
      </c>
      <c r="M132" s="10">
        <f>IF(OR(L132="",N(J132)&lt;=0),"",L132/J132)</f>
        <v/>
      </c>
      <c r="N132" s="11">
        <f>IF(L132="","",IF(L132&gt;0,"Win",IF(L132&lt;0,"Loss","Flat")))</f>
        <v/>
      </c>
      <c r="O132" s="9">
        <f>IF(L132="","",SUM($L$2:L132))</f>
        <v/>
      </c>
      <c r="P132" s="9">
        <f>IF(L132="","",MAX(0,MAX($O$2:O132)))</f>
        <v/>
      </c>
      <c r="Q132" s="9">
        <f>IF(L132="","",P132-O132)</f>
        <v/>
      </c>
      <c r="S132">
        <f>IF(N132="Win",N(S131)+1,0)</f>
        <v/>
      </c>
      <c r="T132">
        <f>IF(N132="Loss",N(T131)+1,0)</f>
        <v/>
      </c>
    </row>
    <row r="133">
      <c r="A133" s="5" t="n"/>
      <c r="B133" s="6" t="n"/>
      <c r="C133" s="6" t="n"/>
      <c r="D133" s="6" t="n"/>
      <c r="E133" s="7" t="n"/>
      <c r="F133" s="7" t="n"/>
      <c r="G133" s="6" t="n"/>
      <c r="H133" s="6" t="n"/>
      <c r="I133" s="7" t="n"/>
      <c r="J133" s="8" t="n"/>
      <c r="K133" s="6" t="n"/>
      <c r="L133" s="9">
        <f>IF(OR(E133="",F133=""),"",ROUND(IF(D133="Short",E133-F133,F133-E133)*G133*H133-I133,2))</f>
        <v/>
      </c>
      <c r="M133" s="10">
        <f>IF(OR(L133="",N(J133)&lt;=0),"",L133/J133)</f>
        <v/>
      </c>
      <c r="N133" s="11">
        <f>IF(L133="","",IF(L133&gt;0,"Win",IF(L133&lt;0,"Loss","Flat")))</f>
        <v/>
      </c>
      <c r="O133" s="9">
        <f>IF(L133="","",SUM($L$2:L133))</f>
        <v/>
      </c>
      <c r="P133" s="9">
        <f>IF(L133="","",MAX(0,MAX($O$2:O133)))</f>
        <v/>
      </c>
      <c r="Q133" s="9">
        <f>IF(L133="","",P133-O133)</f>
        <v/>
      </c>
      <c r="S133">
        <f>IF(N133="Win",N(S132)+1,0)</f>
        <v/>
      </c>
      <c r="T133">
        <f>IF(N133="Loss",N(T132)+1,0)</f>
        <v/>
      </c>
    </row>
    <row r="134">
      <c r="A134" s="5" t="n"/>
      <c r="B134" s="6" t="n"/>
      <c r="C134" s="6" t="n"/>
      <c r="D134" s="6" t="n"/>
      <c r="E134" s="7" t="n"/>
      <c r="F134" s="7" t="n"/>
      <c r="G134" s="6" t="n"/>
      <c r="H134" s="6" t="n"/>
      <c r="I134" s="7" t="n"/>
      <c r="J134" s="8" t="n"/>
      <c r="K134" s="6" t="n"/>
      <c r="L134" s="9">
        <f>IF(OR(E134="",F134=""),"",ROUND(IF(D134="Short",E134-F134,F134-E134)*G134*H134-I134,2))</f>
        <v/>
      </c>
      <c r="M134" s="10">
        <f>IF(OR(L134="",N(J134)&lt;=0),"",L134/J134)</f>
        <v/>
      </c>
      <c r="N134" s="11">
        <f>IF(L134="","",IF(L134&gt;0,"Win",IF(L134&lt;0,"Loss","Flat")))</f>
        <v/>
      </c>
      <c r="O134" s="9">
        <f>IF(L134="","",SUM($L$2:L134))</f>
        <v/>
      </c>
      <c r="P134" s="9">
        <f>IF(L134="","",MAX(0,MAX($O$2:O134)))</f>
        <v/>
      </c>
      <c r="Q134" s="9">
        <f>IF(L134="","",P134-O134)</f>
        <v/>
      </c>
      <c r="S134">
        <f>IF(N134="Win",N(S133)+1,0)</f>
        <v/>
      </c>
      <c r="T134">
        <f>IF(N134="Loss",N(T133)+1,0)</f>
        <v/>
      </c>
    </row>
    <row r="135">
      <c r="A135" s="5" t="n"/>
      <c r="B135" s="6" t="n"/>
      <c r="C135" s="6" t="n"/>
      <c r="D135" s="6" t="n"/>
      <c r="E135" s="7" t="n"/>
      <c r="F135" s="7" t="n"/>
      <c r="G135" s="6" t="n"/>
      <c r="H135" s="6" t="n"/>
      <c r="I135" s="7" t="n"/>
      <c r="J135" s="8" t="n"/>
      <c r="K135" s="6" t="n"/>
      <c r="L135" s="9">
        <f>IF(OR(E135="",F135=""),"",ROUND(IF(D135="Short",E135-F135,F135-E135)*G135*H135-I135,2))</f>
        <v/>
      </c>
      <c r="M135" s="10">
        <f>IF(OR(L135="",N(J135)&lt;=0),"",L135/J135)</f>
        <v/>
      </c>
      <c r="N135" s="11">
        <f>IF(L135="","",IF(L135&gt;0,"Win",IF(L135&lt;0,"Loss","Flat")))</f>
        <v/>
      </c>
      <c r="O135" s="9">
        <f>IF(L135="","",SUM($L$2:L135))</f>
        <v/>
      </c>
      <c r="P135" s="9">
        <f>IF(L135="","",MAX(0,MAX($O$2:O135)))</f>
        <v/>
      </c>
      <c r="Q135" s="9">
        <f>IF(L135="","",P135-O135)</f>
        <v/>
      </c>
      <c r="S135">
        <f>IF(N135="Win",N(S134)+1,0)</f>
        <v/>
      </c>
      <c r="T135">
        <f>IF(N135="Loss",N(T134)+1,0)</f>
        <v/>
      </c>
    </row>
    <row r="136">
      <c r="A136" s="5" t="n"/>
      <c r="B136" s="6" t="n"/>
      <c r="C136" s="6" t="n"/>
      <c r="D136" s="6" t="n"/>
      <c r="E136" s="7" t="n"/>
      <c r="F136" s="7" t="n"/>
      <c r="G136" s="6" t="n"/>
      <c r="H136" s="6" t="n"/>
      <c r="I136" s="7" t="n"/>
      <c r="J136" s="8" t="n"/>
      <c r="K136" s="6" t="n"/>
      <c r="L136" s="9">
        <f>IF(OR(E136="",F136=""),"",ROUND(IF(D136="Short",E136-F136,F136-E136)*G136*H136-I136,2))</f>
        <v/>
      </c>
      <c r="M136" s="10">
        <f>IF(OR(L136="",N(J136)&lt;=0),"",L136/J136)</f>
        <v/>
      </c>
      <c r="N136" s="11">
        <f>IF(L136="","",IF(L136&gt;0,"Win",IF(L136&lt;0,"Loss","Flat")))</f>
        <v/>
      </c>
      <c r="O136" s="9">
        <f>IF(L136="","",SUM($L$2:L136))</f>
        <v/>
      </c>
      <c r="P136" s="9">
        <f>IF(L136="","",MAX(0,MAX($O$2:O136)))</f>
        <v/>
      </c>
      <c r="Q136" s="9">
        <f>IF(L136="","",P136-O136)</f>
        <v/>
      </c>
      <c r="S136">
        <f>IF(N136="Win",N(S135)+1,0)</f>
        <v/>
      </c>
      <c r="T136">
        <f>IF(N136="Loss",N(T135)+1,0)</f>
        <v/>
      </c>
    </row>
    <row r="137">
      <c r="A137" s="5" t="n"/>
      <c r="B137" s="6" t="n"/>
      <c r="C137" s="6" t="n"/>
      <c r="D137" s="6" t="n"/>
      <c r="E137" s="7" t="n"/>
      <c r="F137" s="7" t="n"/>
      <c r="G137" s="6" t="n"/>
      <c r="H137" s="6" t="n"/>
      <c r="I137" s="7" t="n"/>
      <c r="J137" s="8" t="n"/>
      <c r="K137" s="6" t="n"/>
      <c r="L137" s="9">
        <f>IF(OR(E137="",F137=""),"",ROUND(IF(D137="Short",E137-F137,F137-E137)*G137*H137-I137,2))</f>
        <v/>
      </c>
      <c r="M137" s="10">
        <f>IF(OR(L137="",N(J137)&lt;=0),"",L137/J137)</f>
        <v/>
      </c>
      <c r="N137" s="11">
        <f>IF(L137="","",IF(L137&gt;0,"Win",IF(L137&lt;0,"Loss","Flat")))</f>
        <v/>
      </c>
      <c r="O137" s="9">
        <f>IF(L137="","",SUM($L$2:L137))</f>
        <v/>
      </c>
      <c r="P137" s="9">
        <f>IF(L137="","",MAX(0,MAX($O$2:O137)))</f>
        <v/>
      </c>
      <c r="Q137" s="9">
        <f>IF(L137="","",P137-O137)</f>
        <v/>
      </c>
      <c r="S137">
        <f>IF(N137="Win",N(S136)+1,0)</f>
        <v/>
      </c>
      <c r="T137">
        <f>IF(N137="Loss",N(T136)+1,0)</f>
        <v/>
      </c>
    </row>
    <row r="138">
      <c r="A138" s="5" t="n"/>
      <c r="B138" s="6" t="n"/>
      <c r="C138" s="6" t="n"/>
      <c r="D138" s="6" t="n"/>
      <c r="E138" s="7" t="n"/>
      <c r="F138" s="7" t="n"/>
      <c r="G138" s="6" t="n"/>
      <c r="H138" s="6" t="n"/>
      <c r="I138" s="7" t="n"/>
      <c r="J138" s="8" t="n"/>
      <c r="K138" s="6" t="n"/>
      <c r="L138" s="9">
        <f>IF(OR(E138="",F138=""),"",ROUND(IF(D138="Short",E138-F138,F138-E138)*G138*H138-I138,2))</f>
        <v/>
      </c>
      <c r="M138" s="10">
        <f>IF(OR(L138="",N(J138)&lt;=0),"",L138/J138)</f>
        <v/>
      </c>
      <c r="N138" s="11">
        <f>IF(L138="","",IF(L138&gt;0,"Win",IF(L138&lt;0,"Loss","Flat")))</f>
        <v/>
      </c>
      <c r="O138" s="9">
        <f>IF(L138="","",SUM($L$2:L138))</f>
        <v/>
      </c>
      <c r="P138" s="9">
        <f>IF(L138="","",MAX(0,MAX($O$2:O138)))</f>
        <v/>
      </c>
      <c r="Q138" s="9">
        <f>IF(L138="","",P138-O138)</f>
        <v/>
      </c>
      <c r="S138">
        <f>IF(N138="Win",N(S137)+1,0)</f>
        <v/>
      </c>
      <c r="T138">
        <f>IF(N138="Loss",N(T137)+1,0)</f>
        <v/>
      </c>
    </row>
    <row r="139">
      <c r="A139" s="5" t="n"/>
      <c r="B139" s="6" t="n"/>
      <c r="C139" s="6" t="n"/>
      <c r="D139" s="6" t="n"/>
      <c r="E139" s="7" t="n"/>
      <c r="F139" s="7" t="n"/>
      <c r="G139" s="6" t="n"/>
      <c r="H139" s="6" t="n"/>
      <c r="I139" s="7" t="n"/>
      <c r="J139" s="8" t="n"/>
      <c r="K139" s="6" t="n"/>
      <c r="L139" s="9">
        <f>IF(OR(E139="",F139=""),"",ROUND(IF(D139="Short",E139-F139,F139-E139)*G139*H139-I139,2))</f>
        <v/>
      </c>
      <c r="M139" s="10">
        <f>IF(OR(L139="",N(J139)&lt;=0),"",L139/J139)</f>
        <v/>
      </c>
      <c r="N139" s="11">
        <f>IF(L139="","",IF(L139&gt;0,"Win",IF(L139&lt;0,"Loss","Flat")))</f>
        <v/>
      </c>
      <c r="O139" s="9">
        <f>IF(L139="","",SUM($L$2:L139))</f>
        <v/>
      </c>
      <c r="P139" s="9">
        <f>IF(L139="","",MAX(0,MAX($O$2:O139)))</f>
        <v/>
      </c>
      <c r="Q139" s="9">
        <f>IF(L139="","",P139-O139)</f>
        <v/>
      </c>
      <c r="S139">
        <f>IF(N139="Win",N(S138)+1,0)</f>
        <v/>
      </c>
      <c r="T139">
        <f>IF(N139="Loss",N(T138)+1,0)</f>
        <v/>
      </c>
    </row>
    <row r="140">
      <c r="A140" s="5" t="n"/>
      <c r="B140" s="6" t="n"/>
      <c r="C140" s="6" t="n"/>
      <c r="D140" s="6" t="n"/>
      <c r="E140" s="7" t="n"/>
      <c r="F140" s="7" t="n"/>
      <c r="G140" s="6" t="n"/>
      <c r="H140" s="6" t="n"/>
      <c r="I140" s="7" t="n"/>
      <c r="J140" s="8" t="n"/>
      <c r="K140" s="6" t="n"/>
      <c r="L140" s="9">
        <f>IF(OR(E140="",F140=""),"",ROUND(IF(D140="Short",E140-F140,F140-E140)*G140*H140-I140,2))</f>
        <v/>
      </c>
      <c r="M140" s="10">
        <f>IF(OR(L140="",N(J140)&lt;=0),"",L140/J140)</f>
        <v/>
      </c>
      <c r="N140" s="11">
        <f>IF(L140="","",IF(L140&gt;0,"Win",IF(L140&lt;0,"Loss","Flat")))</f>
        <v/>
      </c>
      <c r="O140" s="9">
        <f>IF(L140="","",SUM($L$2:L140))</f>
        <v/>
      </c>
      <c r="P140" s="9">
        <f>IF(L140="","",MAX(0,MAX($O$2:O140)))</f>
        <v/>
      </c>
      <c r="Q140" s="9">
        <f>IF(L140="","",P140-O140)</f>
        <v/>
      </c>
      <c r="S140">
        <f>IF(N140="Win",N(S139)+1,0)</f>
        <v/>
      </c>
      <c r="T140">
        <f>IF(N140="Loss",N(T139)+1,0)</f>
        <v/>
      </c>
    </row>
    <row r="141">
      <c r="A141" s="5" t="n"/>
      <c r="B141" s="6" t="n"/>
      <c r="C141" s="6" t="n"/>
      <c r="D141" s="6" t="n"/>
      <c r="E141" s="7" t="n"/>
      <c r="F141" s="7" t="n"/>
      <c r="G141" s="6" t="n"/>
      <c r="H141" s="6" t="n"/>
      <c r="I141" s="7" t="n"/>
      <c r="J141" s="8" t="n"/>
      <c r="K141" s="6" t="n"/>
      <c r="L141" s="9">
        <f>IF(OR(E141="",F141=""),"",ROUND(IF(D141="Short",E141-F141,F141-E141)*G141*H141-I141,2))</f>
        <v/>
      </c>
      <c r="M141" s="10">
        <f>IF(OR(L141="",N(J141)&lt;=0),"",L141/J141)</f>
        <v/>
      </c>
      <c r="N141" s="11">
        <f>IF(L141="","",IF(L141&gt;0,"Win",IF(L141&lt;0,"Loss","Flat")))</f>
        <v/>
      </c>
      <c r="O141" s="9">
        <f>IF(L141="","",SUM($L$2:L141))</f>
        <v/>
      </c>
      <c r="P141" s="9">
        <f>IF(L141="","",MAX(0,MAX($O$2:O141)))</f>
        <v/>
      </c>
      <c r="Q141" s="9">
        <f>IF(L141="","",P141-O141)</f>
        <v/>
      </c>
      <c r="S141">
        <f>IF(N141="Win",N(S140)+1,0)</f>
        <v/>
      </c>
      <c r="T141">
        <f>IF(N141="Loss",N(T140)+1,0)</f>
        <v/>
      </c>
    </row>
    <row r="142">
      <c r="A142" s="5" t="n"/>
      <c r="B142" s="6" t="n"/>
      <c r="C142" s="6" t="n"/>
      <c r="D142" s="6" t="n"/>
      <c r="E142" s="7" t="n"/>
      <c r="F142" s="7" t="n"/>
      <c r="G142" s="6" t="n"/>
      <c r="H142" s="6" t="n"/>
      <c r="I142" s="7" t="n"/>
      <c r="J142" s="8" t="n"/>
      <c r="K142" s="6" t="n"/>
      <c r="L142" s="9">
        <f>IF(OR(E142="",F142=""),"",ROUND(IF(D142="Short",E142-F142,F142-E142)*G142*H142-I142,2))</f>
        <v/>
      </c>
      <c r="M142" s="10">
        <f>IF(OR(L142="",N(J142)&lt;=0),"",L142/J142)</f>
        <v/>
      </c>
      <c r="N142" s="11">
        <f>IF(L142="","",IF(L142&gt;0,"Win",IF(L142&lt;0,"Loss","Flat")))</f>
        <v/>
      </c>
      <c r="O142" s="9">
        <f>IF(L142="","",SUM($L$2:L142))</f>
        <v/>
      </c>
      <c r="P142" s="9">
        <f>IF(L142="","",MAX(0,MAX($O$2:O142)))</f>
        <v/>
      </c>
      <c r="Q142" s="9">
        <f>IF(L142="","",P142-O142)</f>
        <v/>
      </c>
      <c r="S142">
        <f>IF(N142="Win",N(S141)+1,0)</f>
        <v/>
      </c>
      <c r="T142">
        <f>IF(N142="Loss",N(T141)+1,0)</f>
        <v/>
      </c>
    </row>
    <row r="143">
      <c r="A143" s="5" t="n"/>
      <c r="B143" s="6" t="n"/>
      <c r="C143" s="6" t="n"/>
      <c r="D143" s="6" t="n"/>
      <c r="E143" s="7" t="n"/>
      <c r="F143" s="7" t="n"/>
      <c r="G143" s="6" t="n"/>
      <c r="H143" s="6" t="n"/>
      <c r="I143" s="7" t="n"/>
      <c r="J143" s="8" t="n"/>
      <c r="K143" s="6" t="n"/>
      <c r="L143" s="9">
        <f>IF(OR(E143="",F143=""),"",ROUND(IF(D143="Short",E143-F143,F143-E143)*G143*H143-I143,2))</f>
        <v/>
      </c>
      <c r="M143" s="10">
        <f>IF(OR(L143="",N(J143)&lt;=0),"",L143/J143)</f>
        <v/>
      </c>
      <c r="N143" s="11">
        <f>IF(L143="","",IF(L143&gt;0,"Win",IF(L143&lt;0,"Loss","Flat")))</f>
        <v/>
      </c>
      <c r="O143" s="9">
        <f>IF(L143="","",SUM($L$2:L143))</f>
        <v/>
      </c>
      <c r="P143" s="9">
        <f>IF(L143="","",MAX(0,MAX($O$2:O143)))</f>
        <v/>
      </c>
      <c r="Q143" s="9">
        <f>IF(L143="","",P143-O143)</f>
        <v/>
      </c>
      <c r="S143">
        <f>IF(N143="Win",N(S142)+1,0)</f>
        <v/>
      </c>
      <c r="T143">
        <f>IF(N143="Loss",N(T142)+1,0)</f>
        <v/>
      </c>
    </row>
    <row r="144">
      <c r="A144" s="5" t="n"/>
      <c r="B144" s="6" t="n"/>
      <c r="C144" s="6" t="n"/>
      <c r="D144" s="6" t="n"/>
      <c r="E144" s="7" t="n"/>
      <c r="F144" s="7" t="n"/>
      <c r="G144" s="6" t="n"/>
      <c r="H144" s="6" t="n"/>
      <c r="I144" s="7" t="n"/>
      <c r="J144" s="8" t="n"/>
      <c r="K144" s="6" t="n"/>
      <c r="L144" s="9">
        <f>IF(OR(E144="",F144=""),"",ROUND(IF(D144="Short",E144-F144,F144-E144)*G144*H144-I144,2))</f>
        <v/>
      </c>
      <c r="M144" s="10">
        <f>IF(OR(L144="",N(J144)&lt;=0),"",L144/J144)</f>
        <v/>
      </c>
      <c r="N144" s="11">
        <f>IF(L144="","",IF(L144&gt;0,"Win",IF(L144&lt;0,"Loss","Flat")))</f>
        <v/>
      </c>
      <c r="O144" s="9">
        <f>IF(L144="","",SUM($L$2:L144))</f>
        <v/>
      </c>
      <c r="P144" s="9">
        <f>IF(L144="","",MAX(0,MAX($O$2:O144)))</f>
        <v/>
      </c>
      <c r="Q144" s="9">
        <f>IF(L144="","",P144-O144)</f>
        <v/>
      </c>
      <c r="S144">
        <f>IF(N144="Win",N(S143)+1,0)</f>
        <v/>
      </c>
      <c r="T144">
        <f>IF(N144="Loss",N(T143)+1,0)</f>
        <v/>
      </c>
    </row>
    <row r="145">
      <c r="A145" s="5" t="n"/>
      <c r="B145" s="6" t="n"/>
      <c r="C145" s="6" t="n"/>
      <c r="D145" s="6" t="n"/>
      <c r="E145" s="7" t="n"/>
      <c r="F145" s="7" t="n"/>
      <c r="G145" s="6" t="n"/>
      <c r="H145" s="6" t="n"/>
      <c r="I145" s="7" t="n"/>
      <c r="J145" s="8" t="n"/>
      <c r="K145" s="6" t="n"/>
      <c r="L145" s="9">
        <f>IF(OR(E145="",F145=""),"",ROUND(IF(D145="Short",E145-F145,F145-E145)*G145*H145-I145,2))</f>
        <v/>
      </c>
      <c r="M145" s="10">
        <f>IF(OR(L145="",N(J145)&lt;=0),"",L145/J145)</f>
        <v/>
      </c>
      <c r="N145" s="11">
        <f>IF(L145="","",IF(L145&gt;0,"Win",IF(L145&lt;0,"Loss","Flat")))</f>
        <v/>
      </c>
      <c r="O145" s="9">
        <f>IF(L145="","",SUM($L$2:L145))</f>
        <v/>
      </c>
      <c r="P145" s="9">
        <f>IF(L145="","",MAX(0,MAX($O$2:O145)))</f>
        <v/>
      </c>
      <c r="Q145" s="9">
        <f>IF(L145="","",P145-O145)</f>
        <v/>
      </c>
      <c r="S145">
        <f>IF(N145="Win",N(S144)+1,0)</f>
        <v/>
      </c>
      <c r="T145">
        <f>IF(N145="Loss",N(T144)+1,0)</f>
        <v/>
      </c>
    </row>
    <row r="146">
      <c r="A146" s="5" t="n"/>
      <c r="B146" s="6" t="n"/>
      <c r="C146" s="6" t="n"/>
      <c r="D146" s="6" t="n"/>
      <c r="E146" s="7" t="n"/>
      <c r="F146" s="7" t="n"/>
      <c r="G146" s="6" t="n"/>
      <c r="H146" s="6" t="n"/>
      <c r="I146" s="7" t="n"/>
      <c r="J146" s="8" t="n"/>
      <c r="K146" s="6" t="n"/>
      <c r="L146" s="9">
        <f>IF(OR(E146="",F146=""),"",ROUND(IF(D146="Short",E146-F146,F146-E146)*G146*H146-I146,2))</f>
        <v/>
      </c>
      <c r="M146" s="10">
        <f>IF(OR(L146="",N(J146)&lt;=0),"",L146/J146)</f>
        <v/>
      </c>
      <c r="N146" s="11">
        <f>IF(L146="","",IF(L146&gt;0,"Win",IF(L146&lt;0,"Loss","Flat")))</f>
        <v/>
      </c>
      <c r="O146" s="9">
        <f>IF(L146="","",SUM($L$2:L146))</f>
        <v/>
      </c>
      <c r="P146" s="9">
        <f>IF(L146="","",MAX(0,MAX($O$2:O146)))</f>
        <v/>
      </c>
      <c r="Q146" s="9">
        <f>IF(L146="","",P146-O146)</f>
        <v/>
      </c>
      <c r="S146">
        <f>IF(N146="Win",N(S145)+1,0)</f>
        <v/>
      </c>
      <c r="T146">
        <f>IF(N146="Loss",N(T145)+1,0)</f>
        <v/>
      </c>
    </row>
    <row r="147">
      <c r="A147" s="5" t="n"/>
      <c r="B147" s="6" t="n"/>
      <c r="C147" s="6" t="n"/>
      <c r="D147" s="6" t="n"/>
      <c r="E147" s="7" t="n"/>
      <c r="F147" s="7" t="n"/>
      <c r="G147" s="6" t="n"/>
      <c r="H147" s="6" t="n"/>
      <c r="I147" s="7" t="n"/>
      <c r="J147" s="8" t="n"/>
      <c r="K147" s="6" t="n"/>
      <c r="L147" s="9">
        <f>IF(OR(E147="",F147=""),"",ROUND(IF(D147="Short",E147-F147,F147-E147)*G147*H147-I147,2))</f>
        <v/>
      </c>
      <c r="M147" s="10">
        <f>IF(OR(L147="",N(J147)&lt;=0),"",L147/J147)</f>
        <v/>
      </c>
      <c r="N147" s="11">
        <f>IF(L147="","",IF(L147&gt;0,"Win",IF(L147&lt;0,"Loss","Flat")))</f>
        <v/>
      </c>
      <c r="O147" s="9">
        <f>IF(L147="","",SUM($L$2:L147))</f>
        <v/>
      </c>
      <c r="P147" s="9">
        <f>IF(L147="","",MAX(0,MAX($O$2:O147)))</f>
        <v/>
      </c>
      <c r="Q147" s="9">
        <f>IF(L147="","",P147-O147)</f>
        <v/>
      </c>
      <c r="S147">
        <f>IF(N147="Win",N(S146)+1,0)</f>
        <v/>
      </c>
      <c r="T147">
        <f>IF(N147="Loss",N(T146)+1,0)</f>
        <v/>
      </c>
    </row>
    <row r="148">
      <c r="A148" s="5" t="n"/>
      <c r="B148" s="6" t="n"/>
      <c r="C148" s="6" t="n"/>
      <c r="D148" s="6" t="n"/>
      <c r="E148" s="7" t="n"/>
      <c r="F148" s="7" t="n"/>
      <c r="G148" s="6" t="n"/>
      <c r="H148" s="6" t="n"/>
      <c r="I148" s="7" t="n"/>
      <c r="J148" s="8" t="n"/>
      <c r="K148" s="6" t="n"/>
      <c r="L148" s="9">
        <f>IF(OR(E148="",F148=""),"",ROUND(IF(D148="Short",E148-F148,F148-E148)*G148*H148-I148,2))</f>
        <v/>
      </c>
      <c r="M148" s="10">
        <f>IF(OR(L148="",N(J148)&lt;=0),"",L148/J148)</f>
        <v/>
      </c>
      <c r="N148" s="11">
        <f>IF(L148="","",IF(L148&gt;0,"Win",IF(L148&lt;0,"Loss","Flat")))</f>
        <v/>
      </c>
      <c r="O148" s="9">
        <f>IF(L148="","",SUM($L$2:L148))</f>
        <v/>
      </c>
      <c r="P148" s="9">
        <f>IF(L148="","",MAX(0,MAX($O$2:O148)))</f>
        <v/>
      </c>
      <c r="Q148" s="9">
        <f>IF(L148="","",P148-O148)</f>
        <v/>
      </c>
      <c r="S148">
        <f>IF(N148="Win",N(S147)+1,0)</f>
        <v/>
      </c>
      <c r="T148">
        <f>IF(N148="Loss",N(T147)+1,0)</f>
        <v/>
      </c>
    </row>
    <row r="149">
      <c r="A149" s="5" t="n"/>
      <c r="B149" s="6" t="n"/>
      <c r="C149" s="6" t="n"/>
      <c r="D149" s="6" t="n"/>
      <c r="E149" s="7" t="n"/>
      <c r="F149" s="7" t="n"/>
      <c r="G149" s="6" t="n"/>
      <c r="H149" s="6" t="n"/>
      <c r="I149" s="7" t="n"/>
      <c r="J149" s="8" t="n"/>
      <c r="K149" s="6" t="n"/>
      <c r="L149" s="9">
        <f>IF(OR(E149="",F149=""),"",ROUND(IF(D149="Short",E149-F149,F149-E149)*G149*H149-I149,2))</f>
        <v/>
      </c>
      <c r="M149" s="10">
        <f>IF(OR(L149="",N(J149)&lt;=0),"",L149/J149)</f>
        <v/>
      </c>
      <c r="N149" s="11">
        <f>IF(L149="","",IF(L149&gt;0,"Win",IF(L149&lt;0,"Loss","Flat")))</f>
        <v/>
      </c>
      <c r="O149" s="9">
        <f>IF(L149="","",SUM($L$2:L149))</f>
        <v/>
      </c>
      <c r="P149" s="9">
        <f>IF(L149="","",MAX(0,MAX($O$2:O149)))</f>
        <v/>
      </c>
      <c r="Q149" s="9">
        <f>IF(L149="","",P149-O149)</f>
        <v/>
      </c>
      <c r="S149">
        <f>IF(N149="Win",N(S148)+1,0)</f>
        <v/>
      </c>
      <c r="T149">
        <f>IF(N149="Loss",N(T148)+1,0)</f>
        <v/>
      </c>
    </row>
    <row r="150">
      <c r="A150" s="5" t="n"/>
      <c r="B150" s="6" t="n"/>
      <c r="C150" s="6" t="n"/>
      <c r="D150" s="6" t="n"/>
      <c r="E150" s="7" t="n"/>
      <c r="F150" s="7" t="n"/>
      <c r="G150" s="6" t="n"/>
      <c r="H150" s="6" t="n"/>
      <c r="I150" s="7" t="n"/>
      <c r="J150" s="8" t="n"/>
      <c r="K150" s="6" t="n"/>
      <c r="L150" s="9">
        <f>IF(OR(E150="",F150=""),"",ROUND(IF(D150="Short",E150-F150,F150-E150)*G150*H150-I150,2))</f>
        <v/>
      </c>
      <c r="M150" s="10">
        <f>IF(OR(L150="",N(J150)&lt;=0),"",L150/J150)</f>
        <v/>
      </c>
      <c r="N150" s="11">
        <f>IF(L150="","",IF(L150&gt;0,"Win",IF(L150&lt;0,"Loss","Flat")))</f>
        <v/>
      </c>
      <c r="O150" s="9">
        <f>IF(L150="","",SUM($L$2:L150))</f>
        <v/>
      </c>
      <c r="P150" s="9">
        <f>IF(L150="","",MAX(0,MAX($O$2:O150)))</f>
        <v/>
      </c>
      <c r="Q150" s="9">
        <f>IF(L150="","",P150-O150)</f>
        <v/>
      </c>
      <c r="S150">
        <f>IF(N150="Win",N(S149)+1,0)</f>
        <v/>
      </c>
      <c r="T150">
        <f>IF(N150="Loss",N(T149)+1,0)</f>
        <v/>
      </c>
    </row>
    <row r="151">
      <c r="A151" s="5" t="n"/>
      <c r="B151" s="6" t="n"/>
      <c r="C151" s="6" t="n"/>
      <c r="D151" s="6" t="n"/>
      <c r="E151" s="7" t="n"/>
      <c r="F151" s="7" t="n"/>
      <c r="G151" s="6" t="n"/>
      <c r="H151" s="6" t="n"/>
      <c r="I151" s="7" t="n"/>
      <c r="J151" s="8" t="n"/>
      <c r="K151" s="6" t="n"/>
      <c r="L151" s="9">
        <f>IF(OR(E151="",F151=""),"",ROUND(IF(D151="Short",E151-F151,F151-E151)*G151*H151-I151,2))</f>
        <v/>
      </c>
      <c r="M151" s="10">
        <f>IF(OR(L151="",N(J151)&lt;=0),"",L151/J151)</f>
        <v/>
      </c>
      <c r="N151" s="11">
        <f>IF(L151="","",IF(L151&gt;0,"Win",IF(L151&lt;0,"Loss","Flat")))</f>
        <v/>
      </c>
      <c r="O151" s="9">
        <f>IF(L151="","",SUM($L$2:L151))</f>
        <v/>
      </c>
      <c r="P151" s="9">
        <f>IF(L151="","",MAX(0,MAX($O$2:O151)))</f>
        <v/>
      </c>
      <c r="Q151" s="9">
        <f>IF(L151="","",P151-O151)</f>
        <v/>
      </c>
      <c r="S151">
        <f>IF(N151="Win",N(S150)+1,0)</f>
        <v/>
      </c>
      <c r="T151">
        <f>IF(N151="Loss",N(T150)+1,0)</f>
        <v/>
      </c>
    </row>
    <row r="152">
      <c r="A152" s="5" t="n"/>
      <c r="B152" s="6" t="n"/>
      <c r="C152" s="6" t="n"/>
      <c r="D152" s="6" t="n"/>
      <c r="E152" s="7" t="n"/>
      <c r="F152" s="7" t="n"/>
      <c r="G152" s="6" t="n"/>
      <c r="H152" s="6" t="n"/>
      <c r="I152" s="7" t="n"/>
      <c r="J152" s="8" t="n"/>
      <c r="K152" s="6" t="n"/>
      <c r="L152" s="9">
        <f>IF(OR(E152="",F152=""),"",ROUND(IF(D152="Short",E152-F152,F152-E152)*G152*H152-I152,2))</f>
        <v/>
      </c>
      <c r="M152" s="10">
        <f>IF(OR(L152="",N(J152)&lt;=0),"",L152/J152)</f>
        <v/>
      </c>
      <c r="N152" s="11">
        <f>IF(L152="","",IF(L152&gt;0,"Win",IF(L152&lt;0,"Loss","Flat")))</f>
        <v/>
      </c>
      <c r="O152" s="9">
        <f>IF(L152="","",SUM($L$2:L152))</f>
        <v/>
      </c>
      <c r="P152" s="9">
        <f>IF(L152="","",MAX(0,MAX($O$2:O152)))</f>
        <v/>
      </c>
      <c r="Q152" s="9">
        <f>IF(L152="","",P152-O152)</f>
        <v/>
      </c>
      <c r="S152">
        <f>IF(N152="Win",N(S151)+1,0)</f>
        <v/>
      </c>
      <c r="T152">
        <f>IF(N152="Loss",N(T151)+1,0)</f>
        <v/>
      </c>
    </row>
    <row r="153">
      <c r="A153" s="5" t="n"/>
      <c r="B153" s="6" t="n"/>
      <c r="C153" s="6" t="n"/>
      <c r="D153" s="6" t="n"/>
      <c r="E153" s="7" t="n"/>
      <c r="F153" s="7" t="n"/>
      <c r="G153" s="6" t="n"/>
      <c r="H153" s="6" t="n"/>
      <c r="I153" s="7" t="n"/>
      <c r="J153" s="8" t="n"/>
      <c r="K153" s="6" t="n"/>
      <c r="L153" s="9">
        <f>IF(OR(E153="",F153=""),"",ROUND(IF(D153="Short",E153-F153,F153-E153)*G153*H153-I153,2))</f>
        <v/>
      </c>
      <c r="M153" s="10">
        <f>IF(OR(L153="",N(J153)&lt;=0),"",L153/J153)</f>
        <v/>
      </c>
      <c r="N153" s="11">
        <f>IF(L153="","",IF(L153&gt;0,"Win",IF(L153&lt;0,"Loss","Flat")))</f>
        <v/>
      </c>
      <c r="O153" s="9">
        <f>IF(L153="","",SUM($L$2:L153))</f>
        <v/>
      </c>
      <c r="P153" s="9">
        <f>IF(L153="","",MAX(0,MAX($O$2:O153)))</f>
        <v/>
      </c>
      <c r="Q153" s="9">
        <f>IF(L153="","",P153-O153)</f>
        <v/>
      </c>
      <c r="S153">
        <f>IF(N153="Win",N(S152)+1,0)</f>
        <v/>
      </c>
      <c r="T153">
        <f>IF(N153="Loss",N(T152)+1,0)</f>
        <v/>
      </c>
    </row>
    <row r="154">
      <c r="A154" s="5" t="n"/>
      <c r="B154" s="6" t="n"/>
      <c r="C154" s="6" t="n"/>
      <c r="D154" s="6" t="n"/>
      <c r="E154" s="7" t="n"/>
      <c r="F154" s="7" t="n"/>
      <c r="G154" s="6" t="n"/>
      <c r="H154" s="6" t="n"/>
      <c r="I154" s="7" t="n"/>
      <c r="J154" s="8" t="n"/>
      <c r="K154" s="6" t="n"/>
      <c r="L154" s="9">
        <f>IF(OR(E154="",F154=""),"",ROUND(IF(D154="Short",E154-F154,F154-E154)*G154*H154-I154,2))</f>
        <v/>
      </c>
      <c r="M154" s="10">
        <f>IF(OR(L154="",N(J154)&lt;=0),"",L154/J154)</f>
        <v/>
      </c>
      <c r="N154" s="11">
        <f>IF(L154="","",IF(L154&gt;0,"Win",IF(L154&lt;0,"Loss","Flat")))</f>
        <v/>
      </c>
      <c r="O154" s="9">
        <f>IF(L154="","",SUM($L$2:L154))</f>
        <v/>
      </c>
      <c r="P154" s="9">
        <f>IF(L154="","",MAX(0,MAX($O$2:O154)))</f>
        <v/>
      </c>
      <c r="Q154" s="9">
        <f>IF(L154="","",P154-O154)</f>
        <v/>
      </c>
      <c r="S154">
        <f>IF(N154="Win",N(S153)+1,0)</f>
        <v/>
      </c>
      <c r="T154">
        <f>IF(N154="Loss",N(T153)+1,0)</f>
        <v/>
      </c>
    </row>
    <row r="155">
      <c r="A155" s="5" t="n"/>
      <c r="B155" s="6" t="n"/>
      <c r="C155" s="6" t="n"/>
      <c r="D155" s="6" t="n"/>
      <c r="E155" s="7" t="n"/>
      <c r="F155" s="7" t="n"/>
      <c r="G155" s="6" t="n"/>
      <c r="H155" s="6" t="n"/>
      <c r="I155" s="7" t="n"/>
      <c r="J155" s="8" t="n"/>
      <c r="K155" s="6" t="n"/>
      <c r="L155" s="9">
        <f>IF(OR(E155="",F155=""),"",ROUND(IF(D155="Short",E155-F155,F155-E155)*G155*H155-I155,2))</f>
        <v/>
      </c>
      <c r="M155" s="10">
        <f>IF(OR(L155="",N(J155)&lt;=0),"",L155/J155)</f>
        <v/>
      </c>
      <c r="N155" s="11">
        <f>IF(L155="","",IF(L155&gt;0,"Win",IF(L155&lt;0,"Loss","Flat")))</f>
        <v/>
      </c>
      <c r="O155" s="9">
        <f>IF(L155="","",SUM($L$2:L155))</f>
        <v/>
      </c>
      <c r="P155" s="9">
        <f>IF(L155="","",MAX(0,MAX($O$2:O155)))</f>
        <v/>
      </c>
      <c r="Q155" s="9">
        <f>IF(L155="","",P155-O155)</f>
        <v/>
      </c>
      <c r="S155">
        <f>IF(N155="Win",N(S154)+1,0)</f>
        <v/>
      </c>
      <c r="T155">
        <f>IF(N155="Loss",N(T154)+1,0)</f>
        <v/>
      </c>
    </row>
    <row r="156">
      <c r="A156" s="5" t="n"/>
      <c r="B156" s="6" t="n"/>
      <c r="C156" s="6" t="n"/>
      <c r="D156" s="6" t="n"/>
      <c r="E156" s="7" t="n"/>
      <c r="F156" s="7" t="n"/>
      <c r="G156" s="6" t="n"/>
      <c r="H156" s="6" t="n"/>
      <c r="I156" s="7" t="n"/>
      <c r="J156" s="8" t="n"/>
      <c r="K156" s="6" t="n"/>
      <c r="L156" s="9">
        <f>IF(OR(E156="",F156=""),"",ROUND(IF(D156="Short",E156-F156,F156-E156)*G156*H156-I156,2))</f>
        <v/>
      </c>
      <c r="M156" s="10">
        <f>IF(OR(L156="",N(J156)&lt;=0),"",L156/J156)</f>
        <v/>
      </c>
      <c r="N156" s="11">
        <f>IF(L156="","",IF(L156&gt;0,"Win",IF(L156&lt;0,"Loss","Flat")))</f>
        <v/>
      </c>
      <c r="O156" s="9">
        <f>IF(L156="","",SUM($L$2:L156))</f>
        <v/>
      </c>
      <c r="P156" s="9">
        <f>IF(L156="","",MAX(0,MAX($O$2:O156)))</f>
        <v/>
      </c>
      <c r="Q156" s="9">
        <f>IF(L156="","",P156-O156)</f>
        <v/>
      </c>
      <c r="S156">
        <f>IF(N156="Win",N(S155)+1,0)</f>
        <v/>
      </c>
      <c r="T156">
        <f>IF(N156="Loss",N(T155)+1,0)</f>
        <v/>
      </c>
    </row>
    <row r="157">
      <c r="A157" s="5" t="n"/>
      <c r="B157" s="6" t="n"/>
      <c r="C157" s="6" t="n"/>
      <c r="D157" s="6" t="n"/>
      <c r="E157" s="7" t="n"/>
      <c r="F157" s="7" t="n"/>
      <c r="G157" s="6" t="n"/>
      <c r="H157" s="6" t="n"/>
      <c r="I157" s="7" t="n"/>
      <c r="J157" s="8" t="n"/>
      <c r="K157" s="6" t="n"/>
      <c r="L157" s="9">
        <f>IF(OR(E157="",F157=""),"",ROUND(IF(D157="Short",E157-F157,F157-E157)*G157*H157-I157,2))</f>
        <v/>
      </c>
      <c r="M157" s="10">
        <f>IF(OR(L157="",N(J157)&lt;=0),"",L157/J157)</f>
        <v/>
      </c>
      <c r="N157" s="11">
        <f>IF(L157="","",IF(L157&gt;0,"Win",IF(L157&lt;0,"Loss","Flat")))</f>
        <v/>
      </c>
      <c r="O157" s="9">
        <f>IF(L157="","",SUM($L$2:L157))</f>
        <v/>
      </c>
      <c r="P157" s="9">
        <f>IF(L157="","",MAX(0,MAX($O$2:O157)))</f>
        <v/>
      </c>
      <c r="Q157" s="9">
        <f>IF(L157="","",P157-O157)</f>
        <v/>
      </c>
      <c r="S157">
        <f>IF(N157="Win",N(S156)+1,0)</f>
        <v/>
      </c>
      <c r="T157">
        <f>IF(N157="Loss",N(T156)+1,0)</f>
        <v/>
      </c>
    </row>
    <row r="158">
      <c r="A158" s="5" t="n"/>
      <c r="B158" s="6" t="n"/>
      <c r="C158" s="6" t="n"/>
      <c r="D158" s="6" t="n"/>
      <c r="E158" s="7" t="n"/>
      <c r="F158" s="7" t="n"/>
      <c r="G158" s="6" t="n"/>
      <c r="H158" s="6" t="n"/>
      <c r="I158" s="7" t="n"/>
      <c r="J158" s="8" t="n"/>
      <c r="K158" s="6" t="n"/>
      <c r="L158" s="9">
        <f>IF(OR(E158="",F158=""),"",ROUND(IF(D158="Short",E158-F158,F158-E158)*G158*H158-I158,2))</f>
        <v/>
      </c>
      <c r="M158" s="10">
        <f>IF(OR(L158="",N(J158)&lt;=0),"",L158/J158)</f>
        <v/>
      </c>
      <c r="N158" s="11">
        <f>IF(L158="","",IF(L158&gt;0,"Win",IF(L158&lt;0,"Loss","Flat")))</f>
        <v/>
      </c>
      <c r="O158" s="9">
        <f>IF(L158="","",SUM($L$2:L158))</f>
        <v/>
      </c>
      <c r="P158" s="9">
        <f>IF(L158="","",MAX(0,MAX($O$2:O158)))</f>
        <v/>
      </c>
      <c r="Q158" s="9">
        <f>IF(L158="","",P158-O158)</f>
        <v/>
      </c>
      <c r="S158">
        <f>IF(N158="Win",N(S157)+1,0)</f>
        <v/>
      </c>
      <c r="T158">
        <f>IF(N158="Loss",N(T157)+1,0)</f>
        <v/>
      </c>
    </row>
    <row r="159">
      <c r="A159" s="5" t="n"/>
      <c r="B159" s="6" t="n"/>
      <c r="C159" s="6" t="n"/>
      <c r="D159" s="6" t="n"/>
      <c r="E159" s="7" t="n"/>
      <c r="F159" s="7" t="n"/>
      <c r="G159" s="6" t="n"/>
      <c r="H159" s="6" t="n"/>
      <c r="I159" s="7" t="n"/>
      <c r="J159" s="8" t="n"/>
      <c r="K159" s="6" t="n"/>
      <c r="L159" s="9">
        <f>IF(OR(E159="",F159=""),"",ROUND(IF(D159="Short",E159-F159,F159-E159)*G159*H159-I159,2))</f>
        <v/>
      </c>
      <c r="M159" s="10">
        <f>IF(OR(L159="",N(J159)&lt;=0),"",L159/J159)</f>
        <v/>
      </c>
      <c r="N159" s="11">
        <f>IF(L159="","",IF(L159&gt;0,"Win",IF(L159&lt;0,"Loss","Flat")))</f>
        <v/>
      </c>
      <c r="O159" s="9">
        <f>IF(L159="","",SUM($L$2:L159))</f>
        <v/>
      </c>
      <c r="P159" s="9">
        <f>IF(L159="","",MAX(0,MAX($O$2:O159)))</f>
        <v/>
      </c>
      <c r="Q159" s="9">
        <f>IF(L159="","",P159-O159)</f>
        <v/>
      </c>
      <c r="S159">
        <f>IF(N159="Win",N(S158)+1,0)</f>
        <v/>
      </c>
      <c r="T159">
        <f>IF(N159="Loss",N(T158)+1,0)</f>
        <v/>
      </c>
    </row>
    <row r="160">
      <c r="A160" s="5" t="n"/>
      <c r="B160" s="6" t="n"/>
      <c r="C160" s="6" t="n"/>
      <c r="D160" s="6" t="n"/>
      <c r="E160" s="7" t="n"/>
      <c r="F160" s="7" t="n"/>
      <c r="G160" s="6" t="n"/>
      <c r="H160" s="6" t="n"/>
      <c r="I160" s="7" t="n"/>
      <c r="J160" s="8" t="n"/>
      <c r="K160" s="6" t="n"/>
      <c r="L160" s="9">
        <f>IF(OR(E160="",F160=""),"",ROUND(IF(D160="Short",E160-F160,F160-E160)*G160*H160-I160,2))</f>
        <v/>
      </c>
      <c r="M160" s="10">
        <f>IF(OR(L160="",N(J160)&lt;=0),"",L160/J160)</f>
        <v/>
      </c>
      <c r="N160" s="11">
        <f>IF(L160="","",IF(L160&gt;0,"Win",IF(L160&lt;0,"Loss","Flat")))</f>
        <v/>
      </c>
      <c r="O160" s="9">
        <f>IF(L160="","",SUM($L$2:L160))</f>
        <v/>
      </c>
      <c r="P160" s="9">
        <f>IF(L160="","",MAX(0,MAX($O$2:O160)))</f>
        <v/>
      </c>
      <c r="Q160" s="9">
        <f>IF(L160="","",P160-O160)</f>
        <v/>
      </c>
      <c r="S160">
        <f>IF(N160="Win",N(S159)+1,0)</f>
        <v/>
      </c>
      <c r="T160">
        <f>IF(N160="Loss",N(T159)+1,0)</f>
        <v/>
      </c>
    </row>
    <row r="161">
      <c r="A161" s="5" t="n"/>
      <c r="B161" s="6" t="n"/>
      <c r="C161" s="6" t="n"/>
      <c r="D161" s="6" t="n"/>
      <c r="E161" s="7" t="n"/>
      <c r="F161" s="7" t="n"/>
      <c r="G161" s="6" t="n"/>
      <c r="H161" s="6" t="n"/>
      <c r="I161" s="7" t="n"/>
      <c r="J161" s="8" t="n"/>
      <c r="K161" s="6" t="n"/>
      <c r="L161" s="9">
        <f>IF(OR(E161="",F161=""),"",ROUND(IF(D161="Short",E161-F161,F161-E161)*G161*H161-I161,2))</f>
        <v/>
      </c>
      <c r="M161" s="10">
        <f>IF(OR(L161="",N(J161)&lt;=0),"",L161/J161)</f>
        <v/>
      </c>
      <c r="N161" s="11">
        <f>IF(L161="","",IF(L161&gt;0,"Win",IF(L161&lt;0,"Loss","Flat")))</f>
        <v/>
      </c>
      <c r="O161" s="9">
        <f>IF(L161="","",SUM($L$2:L161))</f>
        <v/>
      </c>
      <c r="P161" s="9">
        <f>IF(L161="","",MAX(0,MAX($O$2:O161)))</f>
        <v/>
      </c>
      <c r="Q161" s="9">
        <f>IF(L161="","",P161-O161)</f>
        <v/>
      </c>
      <c r="S161">
        <f>IF(N161="Win",N(S160)+1,0)</f>
        <v/>
      </c>
      <c r="T161">
        <f>IF(N161="Loss",N(T160)+1,0)</f>
        <v/>
      </c>
    </row>
    <row r="162">
      <c r="A162" s="5" t="n"/>
      <c r="B162" s="6" t="n"/>
      <c r="C162" s="6" t="n"/>
      <c r="D162" s="6" t="n"/>
      <c r="E162" s="7" t="n"/>
      <c r="F162" s="7" t="n"/>
      <c r="G162" s="6" t="n"/>
      <c r="H162" s="6" t="n"/>
      <c r="I162" s="7" t="n"/>
      <c r="J162" s="8" t="n"/>
      <c r="K162" s="6" t="n"/>
      <c r="L162" s="9">
        <f>IF(OR(E162="",F162=""),"",ROUND(IF(D162="Short",E162-F162,F162-E162)*G162*H162-I162,2))</f>
        <v/>
      </c>
      <c r="M162" s="10">
        <f>IF(OR(L162="",N(J162)&lt;=0),"",L162/J162)</f>
        <v/>
      </c>
      <c r="N162" s="11">
        <f>IF(L162="","",IF(L162&gt;0,"Win",IF(L162&lt;0,"Loss","Flat")))</f>
        <v/>
      </c>
      <c r="O162" s="9">
        <f>IF(L162="","",SUM($L$2:L162))</f>
        <v/>
      </c>
      <c r="P162" s="9">
        <f>IF(L162="","",MAX(0,MAX($O$2:O162)))</f>
        <v/>
      </c>
      <c r="Q162" s="9">
        <f>IF(L162="","",P162-O162)</f>
        <v/>
      </c>
      <c r="S162">
        <f>IF(N162="Win",N(S161)+1,0)</f>
        <v/>
      </c>
      <c r="T162">
        <f>IF(N162="Loss",N(T161)+1,0)</f>
        <v/>
      </c>
    </row>
    <row r="163">
      <c r="A163" s="5" t="n"/>
      <c r="B163" s="6" t="n"/>
      <c r="C163" s="6" t="n"/>
      <c r="D163" s="6" t="n"/>
      <c r="E163" s="7" t="n"/>
      <c r="F163" s="7" t="n"/>
      <c r="G163" s="6" t="n"/>
      <c r="H163" s="6" t="n"/>
      <c r="I163" s="7" t="n"/>
      <c r="J163" s="8" t="n"/>
      <c r="K163" s="6" t="n"/>
      <c r="L163" s="9">
        <f>IF(OR(E163="",F163=""),"",ROUND(IF(D163="Short",E163-F163,F163-E163)*G163*H163-I163,2))</f>
        <v/>
      </c>
      <c r="M163" s="10">
        <f>IF(OR(L163="",N(J163)&lt;=0),"",L163/J163)</f>
        <v/>
      </c>
      <c r="N163" s="11">
        <f>IF(L163="","",IF(L163&gt;0,"Win",IF(L163&lt;0,"Loss","Flat")))</f>
        <v/>
      </c>
      <c r="O163" s="9">
        <f>IF(L163="","",SUM($L$2:L163))</f>
        <v/>
      </c>
      <c r="P163" s="9">
        <f>IF(L163="","",MAX(0,MAX($O$2:O163)))</f>
        <v/>
      </c>
      <c r="Q163" s="9">
        <f>IF(L163="","",P163-O163)</f>
        <v/>
      </c>
      <c r="S163">
        <f>IF(N163="Win",N(S162)+1,0)</f>
        <v/>
      </c>
      <c r="T163">
        <f>IF(N163="Loss",N(T162)+1,0)</f>
        <v/>
      </c>
    </row>
    <row r="164">
      <c r="A164" s="5" t="n"/>
      <c r="B164" s="6" t="n"/>
      <c r="C164" s="6" t="n"/>
      <c r="D164" s="6" t="n"/>
      <c r="E164" s="7" t="n"/>
      <c r="F164" s="7" t="n"/>
      <c r="G164" s="6" t="n"/>
      <c r="H164" s="6" t="n"/>
      <c r="I164" s="7" t="n"/>
      <c r="J164" s="8" t="n"/>
      <c r="K164" s="6" t="n"/>
      <c r="L164" s="9">
        <f>IF(OR(E164="",F164=""),"",ROUND(IF(D164="Short",E164-F164,F164-E164)*G164*H164-I164,2))</f>
        <v/>
      </c>
      <c r="M164" s="10">
        <f>IF(OR(L164="",N(J164)&lt;=0),"",L164/J164)</f>
        <v/>
      </c>
      <c r="N164" s="11">
        <f>IF(L164="","",IF(L164&gt;0,"Win",IF(L164&lt;0,"Loss","Flat")))</f>
        <v/>
      </c>
      <c r="O164" s="9">
        <f>IF(L164="","",SUM($L$2:L164))</f>
        <v/>
      </c>
      <c r="P164" s="9">
        <f>IF(L164="","",MAX(0,MAX($O$2:O164)))</f>
        <v/>
      </c>
      <c r="Q164" s="9">
        <f>IF(L164="","",P164-O164)</f>
        <v/>
      </c>
      <c r="S164">
        <f>IF(N164="Win",N(S163)+1,0)</f>
        <v/>
      </c>
      <c r="T164">
        <f>IF(N164="Loss",N(T163)+1,0)</f>
        <v/>
      </c>
    </row>
    <row r="165">
      <c r="A165" s="5" t="n"/>
      <c r="B165" s="6" t="n"/>
      <c r="C165" s="6" t="n"/>
      <c r="D165" s="6" t="n"/>
      <c r="E165" s="7" t="n"/>
      <c r="F165" s="7" t="n"/>
      <c r="G165" s="6" t="n"/>
      <c r="H165" s="6" t="n"/>
      <c r="I165" s="7" t="n"/>
      <c r="J165" s="8" t="n"/>
      <c r="K165" s="6" t="n"/>
      <c r="L165" s="9">
        <f>IF(OR(E165="",F165=""),"",ROUND(IF(D165="Short",E165-F165,F165-E165)*G165*H165-I165,2))</f>
        <v/>
      </c>
      <c r="M165" s="10">
        <f>IF(OR(L165="",N(J165)&lt;=0),"",L165/J165)</f>
        <v/>
      </c>
      <c r="N165" s="11">
        <f>IF(L165="","",IF(L165&gt;0,"Win",IF(L165&lt;0,"Loss","Flat")))</f>
        <v/>
      </c>
      <c r="O165" s="9">
        <f>IF(L165="","",SUM($L$2:L165))</f>
        <v/>
      </c>
      <c r="P165" s="9">
        <f>IF(L165="","",MAX(0,MAX($O$2:O165)))</f>
        <v/>
      </c>
      <c r="Q165" s="9">
        <f>IF(L165="","",P165-O165)</f>
        <v/>
      </c>
      <c r="S165">
        <f>IF(N165="Win",N(S164)+1,0)</f>
        <v/>
      </c>
      <c r="T165">
        <f>IF(N165="Loss",N(T164)+1,0)</f>
        <v/>
      </c>
    </row>
    <row r="166">
      <c r="A166" s="5" t="n"/>
      <c r="B166" s="6" t="n"/>
      <c r="C166" s="6" t="n"/>
      <c r="D166" s="6" t="n"/>
      <c r="E166" s="7" t="n"/>
      <c r="F166" s="7" t="n"/>
      <c r="G166" s="6" t="n"/>
      <c r="H166" s="6" t="n"/>
      <c r="I166" s="7" t="n"/>
      <c r="J166" s="8" t="n"/>
      <c r="K166" s="6" t="n"/>
      <c r="L166" s="9">
        <f>IF(OR(E166="",F166=""),"",ROUND(IF(D166="Short",E166-F166,F166-E166)*G166*H166-I166,2))</f>
        <v/>
      </c>
      <c r="M166" s="10">
        <f>IF(OR(L166="",N(J166)&lt;=0),"",L166/J166)</f>
        <v/>
      </c>
      <c r="N166" s="11">
        <f>IF(L166="","",IF(L166&gt;0,"Win",IF(L166&lt;0,"Loss","Flat")))</f>
        <v/>
      </c>
      <c r="O166" s="9">
        <f>IF(L166="","",SUM($L$2:L166))</f>
        <v/>
      </c>
      <c r="P166" s="9">
        <f>IF(L166="","",MAX(0,MAX($O$2:O166)))</f>
        <v/>
      </c>
      <c r="Q166" s="9">
        <f>IF(L166="","",P166-O166)</f>
        <v/>
      </c>
      <c r="S166">
        <f>IF(N166="Win",N(S165)+1,0)</f>
        <v/>
      </c>
      <c r="T166">
        <f>IF(N166="Loss",N(T165)+1,0)</f>
        <v/>
      </c>
    </row>
    <row r="167">
      <c r="A167" s="5" t="n"/>
      <c r="B167" s="6" t="n"/>
      <c r="C167" s="6" t="n"/>
      <c r="D167" s="6" t="n"/>
      <c r="E167" s="7" t="n"/>
      <c r="F167" s="7" t="n"/>
      <c r="G167" s="6" t="n"/>
      <c r="H167" s="6" t="n"/>
      <c r="I167" s="7" t="n"/>
      <c r="J167" s="8" t="n"/>
      <c r="K167" s="6" t="n"/>
      <c r="L167" s="9">
        <f>IF(OR(E167="",F167=""),"",ROUND(IF(D167="Short",E167-F167,F167-E167)*G167*H167-I167,2))</f>
        <v/>
      </c>
      <c r="M167" s="10">
        <f>IF(OR(L167="",N(J167)&lt;=0),"",L167/J167)</f>
        <v/>
      </c>
      <c r="N167" s="11">
        <f>IF(L167="","",IF(L167&gt;0,"Win",IF(L167&lt;0,"Loss","Flat")))</f>
        <v/>
      </c>
      <c r="O167" s="9">
        <f>IF(L167="","",SUM($L$2:L167))</f>
        <v/>
      </c>
      <c r="P167" s="9">
        <f>IF(L167="","",MAX(0,MAX($O$2:O167)))</f>
        <v/>
      </c>
      <c r="Q167" s="9">
        <f>IF(L167="","",P167-O167)</f>
        <v/>
      </c>
      <c r="S167">
        <f>IF(N167="Win",N(S166)+1,0)</f>
        <v/>
      </c>
      <c r="T167">
        <f>IF(N167="Loss",N(T166)+1,0)</f>
        <v/>
      </c>
    </row>
    <row r="168">
      <c r="A168" s="5" t="n"/>
      <c r="B168" s="6" t="n"/>
      <c r="C168" s="6" t="n"/>
      <c r="D168" s="6" t="n"/>
      <c r="E168" s="7" t="n"/>
      <c r="F168" s="7" t="n"/>
      <c r="G168" s="6" t="n"/>
      <c r="H168" s="6" t="n"/>
      <c r="I168" s="7" t="n"/>
      <c r="J168" s="8" t="n"/>
      <c r="K168" s="6" t="n"/>
      <c r="L168" s="9">
        <f>IF(OR(E168="",F168=""),"",ROUND(IF(D168="Short",E168-F168,F168-E168)*G168*H168-I168,2))</f>
        <v/>
      </c>
      <c r="M168" s="10">
        <f>IF(OR(L168="",N(J168)&lt;=0),"",L168/J168)</f>
        <v/>
      </c>
      <c r="N168" s="11">
        <f>IF(L168="","",IF(L168&gt;0,"Win",IF(L168&lt;0,"Loss","Flat")))</f>
        <v/>
      </c>
      <c r="O168" s="9">
        <f>IF(L168="","",SUM($L$2:L168))</f>
        <v/>
      </c>
      <c r="P168" s="9">
        <f>IF(L168="","",MAX(0,MAX($O$2:O168)))</f>
        <v/>
      </c>
      <c r="Q168" s="9">
        <f>IF(L168="","",P168-O168)</f>
        <v/>
      </c>
      <c r="S168">
        <f>IF(N168="Win",N(S167)+1,0)</f>
        <v/>
      </c>
      <c r="T168">
        <f>IF(N168="Loss",N(T167)+1,0)</f>
        <v/>
      </c>
    </row>
    <row r="169">
      <c r="A169" s="5" t="n"/>
      <c r="B169" s="6" t="n"/>
      <c r="C169" s="6" t="n"/>
      <c r="D169" s="6" t="n"/>
      <c r="E169" s="7" t="n"/>
      <c r="F169" s="7" t="n"/>
      <c r="G169" s="6" t="n"/>
      <c r="H169" s="6" t="n"/>
      <c r="I169" s="7" t="n"/>
      <c r="J169" s="8" t="n"/>
      <c r="K169" s="6" t="n"/>
      <c r="L169" s="9">
        <f>IF(OR(E169="",F169=""),"",ROUND(IF(D169="Short",E169-F169,F169-E169)*G169*H169-I169,2))</f>
        <v/>
      </c>
      <c r="M169" s="10">
        <f>IF(OR(L169="",N(J169)&lt;=0),"",L169/J169)</f>
        <v/>
      </c>
      <c r="N169" s="11">
        <f>IF(L169="","",IF(L169&gt;0,"Win",IF(L169&lt;0,"Loss","Flat")))</f>
        <v/>
      </c>
      <c r="O169" s="9">
        <f>IF(L169="","",SUM($L$2:L169))</f>
        <v/>
      </c>
      <c r="P169" s="9">
        <f>IF(L169="","",MAX(0,MAX($O$2:O169)))</f>
        <v/>
      </c>
      <c r="Q169" s="9">
        <f>IF(L169="","",P169-O169)</f>
        <v/>
      </c>
      <c r="S169">
        <f>IF(N169="Win",N(S168)+1,0)</f>
        <v/>
      </c>
      <c r="T169">
        <f>IF(N169="Loss",N(T168)+1,0)</f>
        <v/>
      </c>
    </row>
    <row r="170">
      <c r="A170" s="5" t="n"/>
      <c r="B170" s="6" t="n"/>
      <c r="C170" s="6" t="n"/>
      <c r="D170" s="6" t="n"/>
      <c r="E170" s="7" t="n"/>
      <c r="F170" s="7" t="n"/>
      <c r="G170" s="6" t="n"/>
      <c r="H170" s="6" t="n"/>
      <c r="I170" s="7" t="n"/>
      <c r="J170" s="8" t="n"/>
      <c r="K170" s="6" t="n"/>
      <c r="L170" s="9">
        <f>IF(OR(E170="",F170=""),"",ROUND(IF(D170="Short",E170-F170,F170-E170)*G170*H170-I170,2))</f>
        <v/>
      </c>
      <c r="M170" s="10">
        <f>IF(OR(L170="",N(J170)&lt;=0),"",L170/J170)</f>
        <v/>
      </c>
      <c r="N170" s="11">
        <f>IF(L170="","",IF(L170&gt;0,"Win",IF(L170&lt;0,"Loss","Flat")))</f>
        <v/>
      </c>
      <c r="O170" s="9">
        <f>IF(L170="","",SUM($L$2:L170))</f>
        <v/>
      </c>
      <c r="P170" s="9">
        <f>IF(L170="","",MAX(0,MAX($O$2:O170)))</f>
        <v/>
      </c>
      <c r="Q170" s="9">
        <f>IF(L170="","",P170-O170)</f>
        <v/>
      </c>
      <c r="S170">
        <f>IF(N170="Win",N(S169)+1,0)</f>
        <v/>
      </c>
      <c r="T170">
        <f>IF(N170="Loss",N(T169)+1,0)</f>
        <v/>
      </c>
    </row>
    <row r="171">
      <c r="A171" s="5" t="n"/>
      <c r="B171" s="6" t="n"/>
      <c r="C171" s="6" t="n"/>
      <c r="D171" s="6" t="n"/>
      <c r="E171" s="7" t="n"/>
      <c r="F171" s="7" t="n"/>
      <c r="G171" s="6" t="n"/>
      <c r="H171" s="6" t="n"/>
      <c r="I171" s="7" t="n"/>
      <c r="J171" s="8" t="n"/>
      <c r="K171" s="6" t="n"/>
      <c r="L171" s="9">
        <f>IF(OR(E171="",F171=""),"",ROUND(IF(D171="Short",E171-F171,F171-E171)*G171*H171-I171,2))</f>
        <v/>
      </c>
      <c r="M171" s="10">
        <f>IF(OR(L171="",N(J171)&lt;=0),"",L171/J171)</f>
        <v/>
      </c>
      <c r="N171" s="11">
        <f>IF(L171="","",IF(L171&gt;0,"Win",IF(L171&lt;0,"Loss","Flat")))</f>
        <v/>
      </c>
      <c r="O171" s="9">
        <f>IF(L171="","",SUM($L$2:L171))</f>
        <v/>
      </c>
      <c r="P171" s="9">
        <f>IF(L171="","",MAX(0,MAX($O$2:O171)))</f>
        <v/>
      </c>
      <c r="Q171" s="9">
        <f>IF(L171="","",P171-O171)</f>
        <v/>
      </c>
      <c r="S171">
        <f>IF(N171="Win",N(S170)+1,0)</f>
        <v/>
      </c>
      <c r="T171">
        <f>IF(N171="Loss",N(T170)+1,0)</f>
        <v/>
      </c>
    </row>
    <row r="172">
      <c r="A172" s="5" t="n"/>
      <c r="B172" s="6" t="n"/>
      <c r="C172" s="6" t="n"/>
      <c r="D172" s="6" t="n"/>
      <c r="E172" s="7" t="n"/>
      <c r="F172" s="7" t="n"/>
      <c r="G172" s="6" t="n"/>
      <c r="H172" s="6" t="n"/>
      <c r="I172" s="7" t="n"/>
      <c r="J172" s="8" t="n"/>
      <c r="K172" s="6" t="n"/>
      <c r="L172" s="9">
        <f>IF(OR(E172="",F172=""),"",ROUND(IF(D172="Short",E172-F172,F172-E172)*G172*H172-I172,2))</f>
        <v/>
      </c>
      <c r="M172" s="10">
        <f>IF(OR(L172="",N(J172)&lt;=0),"",L172/J172)</f>
        <v/>
      </c>
      <c r="N172" s="11">
        <f>IF(L172="","",IF(L172&gt;0,"Win",IF(L172&lt;0,"Loss","Flat")))</f>
        <v/>
      </c>
      <c r="O172" s="9">
        <f>IF(L172="","",SUM($L$2:L172))</f>
        <v/>
      </c>
      <c r="P172" s="9">
        <f>IF(L172="","",MAX(0,MAX($O$2:O172)))</f>
        <v/>
      </c>
      <c r="Q172" s="9">
        <f>IF(L172="","",P172-O172)</f>
        <v/>
      </c>
      <c r="S172">
        <f>IF(N172="Win",N(S171)+1,0)</f>
        <v/>
      </c>
      <c r="T172">
        <f>IF(N172="Loss",N(T171)+1,0)</f>
        <v/>
      </c>
    </row>
    <row r="173">
      <c r="A173" s="5" t="n"/>
      <c r="B173" s="6" t="n"/>
      <c r="C173" s="6" t="n"/>
      <c r="D173" s="6" t="n"/>
      <c r="E173" s="7" t="n"/>
      <c r="F173" s="7" t="n"/>
      <c r="G173" s="6" t="n"/>
      <c r="H173" s="6" t="n"/>
      <c r="I173" s="7" t="n"/>
      <c r="J173" s="8" t="n"/>
      <c r="K173" s="6" t="n"/>
      <c r="L173" s="9">
        <f>IF(OR(E173="",F173=""),"",ROUND(IF(D173="Short",E173-F173,F173-E173)*G173*H173-I173,2))</f>
        <v/>
      </c>
      <c r="M173" s="10">
        <f>IF(OR(L173="",N(J173)&lt;=0),"",L173/J173)</f>
        <v/>
      </c>
      <c r="N173" s="11">
        <f>IF(L173="","",IF(L173&gt;0,"Win",IF(L173&lt;0,"Loss","Flat")))</f>
        <v/>
      </c>
      <c r="O173" s="9">
        <f>IF(L173="","",SUM($L$2:L173))</f>
        <v/>
      </c>
      <c r="P173" s="9">
        <f>IF(L173="","",MAX(0,MAX($O$2:O173)))</f>
        <v/>
      </c>
      <c r="Q173" s="9">
        <f>IF(L173="","",P173-O173)</f>
        <v/>
      </c>
      <c r="S173">
        <f>IF(N173="Win",N(S172)+1,0)</f>
        <v/>
      </c>
      <c r="T173">
        <f>IF(N173="Loss",N(T172)+1,0)</f>
        <v/>
      </c>
    </row>
    <row r="174">
      <c r="A174" s="5" t="n"/>
      <c r="B174" s="6" t="n"/>
      <c r="C174" s="6" t="n"/>
      <c r="D174" s="6" t="n"/>
      <c r="E174" s="7" t="n"/>
      <c r="F174" s="7" t="n"/>
      <c r="G174" s="6" t="n"/>
      <c r="H174" s="6" t="n"/>
      <c r="I174" s="7" t="n"/>
      <c r="J174" s="8" t="n"/>
      <c r="K174" s="6" t="n"/>
      <c r="L174" s="9">
        <f>IF(OR(E174="",F174=""),"",ROUND(IF(D174="Short",E174-F174,F174-E174)*G174*H174-I174,2))</f>
        <v/>
      </c>
      <c r="M174" s="10">
        <f>IF(OR(L174="",N(J174)&lt;=0),"",L174/J174)</f>
        <v/>
      </c>
      <c r="N174" s="11">
        <f>IF(L174="","",IF(L174&gt;0,"Win",IF(L174&lt;0,"Loss","Flat")))</f>
        <v/>
      </c>
      <c r="O174" s="9">
        <f>IF(L174="","",SUM($L$2:L174))</f>
        <v/>
      </c>
      <c r="P174" s="9">
        <f>IF(L174="","",MAX(0,MAX($O$2:O174)))</f>
        <v/>
      </c>
      <c r="Q174" s="9">
        <f>IF(L174="","",P174-O174)</f>
        <v/>
      </c>
      <c r="S174">
        <f>IF(N174="Win",N(S173)+1,0)</f>
        <v/>
      </c>
      <c r="T174">
        <f>IF(N174="Loss",N(T173)+1,0)</f>
        <v/>
      </c>
    </row>
    <row r="175">
      <c r="A175" s="5" t="n"/>
      <c r="B175" s="6" t="n"/>
      <c r="C175" s="6" t="n"/>
      <c r="D175" s="6" t="n"/>
      <c r="E175" s="7" t="n"/>
      <c r="F175" s="7" t="n"/>
      <c r="G175" s="6" t="n"/>
      <c r="H175" s="6" t="n"/>
      <c r="I175" s="7" t="n"/>
      <c r="J175" s="8" t="n"/>
      <c r="K175" s="6" t="n"/>
      <c r="L175" s="9">
        <f>IF(OR(E175="",F175=""),"",ROUND(IF(D175="Short",E175-F175,F175-E175)*G175*H175-I175,2))</f>
        <v/>
      </c>
      <c r="M175" s="10">
        <f>IF(OR(L175="",N(J175)&lt;=0),"",L175/J175)</f>
        <v/>
      </c>
      <c r="N175" s="11">
        <f>IF(L175="","",IF(L175&gt;0,"Win",IF(L175&lt;0,"Loss","Flat")))</f>
        <v/>
      </c>
      <c r="O175" s="9">
        <f>IF(L175="","",SUM($L$2:L175))</f>
        <v/>
      </c>
      <c r="P175" s="9">
        <f>IF(L175="","",MAX(0,MAX($O$2:O175)))</f>
        <v/>
      </c>
      <c r="Q175" s="9">
        <f>IF(L175="","",P175-O175)</f>
        <v/>
      </c>
      <c r="S175">
        <f>IF(N175="Win",N(S174)+1,0)</f>
        <v/>
      </c>
      <c r="T175">
        <f>IF(N175="Loss",N(T174)+1,0)</f>
        <v/>
      </c>
    </row>
    <row r="176">
      <c r="A176" s="5" t="n"/>
      <c r="B176" s="6" t="n"/>
      <c r="C176" s="6" t="n"/>
      <c r="D176" s="6" t="n"/>
      <c r="E176" s="7" t="n"/>
      <c r="F176" s="7" t="n"/>
      <c r="G176" s="6" t="n"/>
      <c r="H176" s="6" t="n"/>
      <c r="I176" s="7" t="n"/>
      <c r="J176" s="8" t="n"/>
      <c r="K176" s="6" t="n"/>
      <c r="L176" s="9">
        <f>IF(OR(E176="",F176=""),"",ROUND(IF(D176="Short",E176-F176,F176-E176)*G176*H176-I176,2))</f>
        <v/>
      </c>
      <c r="M176" s="10">
        <f>IF(OR(L176="",N(J176)&lt;=0),"",L176/J176)</f>
        <v/>
      </c>
      <c r="N176" s="11">
        <f>IF(L176="","",IF(L176&gt;0,"Win",IF(L176&lt;0,"Loss","Flat")))</f>
        <v/>
      </c>
      <c r="O176" s="9">
        <f>IF(L176="","",SUM($L$2:L176))</f>
        <v/>
      </c>
      <c r="P176" s="9">
        <f>IF(L176="","",MAX(0,MAX($O$2:O176)))</f>
        <v/>
      </c>
      <c r="Q176" s="9">
        <f>IF(L176="","",P176-O176)</f>
        <v/>
      </c>
      <c r="S176">
        <f>IF(N176="Win",N(S175)+1,0)</f>
        <v/>
      </c>
      <c r="T176">
        <f>IF(N176="Loss",N(T175)+1,0)</f>
        <v/>
      </c>
    </row>
    <row r="177">
      <c r="A177" s="5" t="n"/>
      <c r="B177" s="6" t="n"/>
      <c r="C177" s="6" t="n"/>
      <c r="D177" s="6" t="n"/>
      <c r="E177" s="7" t="n"/>
      <c r="F177" s="7" t="n"/>
      <c r="G177" s="6" t="n"/>
      <c r="H177" s="6" t="n"/>
      <c r="I177" s="7" t="n"/>
      <c r="J177" s="8" t="n"/>
      <c r="K177" s="6" t="n"/>
      <c r="L177" s="9">
        <f>IF(OR(E177="",F177=""),"",ROUND(IF(D177="Short",E177-F177,F177-E177)*G177*H177-I177,2))</f>
        <v/>
      </c>
      <c r="M177" s="10">
        <f>IF(OR(L177="",N(J177)&lt;=0),"",L177/J177)</f>
        <v/>
      </c>
      <c r="N177" s="11">
        <f>IF(L177="","",IF(L177&gt;0,"Win",IF(L177&lt;0,"Loss","Flat")))</f>
        <v/>
      </c>
      <c r="O177" s="9">
        <f>IF(L177="","",SUM($L$2:L177))</f>
        <v/>
      </c>
      <c r="P177" s="9">
        <f>IF(L177="","",MAX(0,MAX($O$2:O177)))</f>
        <v/>
      </c>
      <c r="Q177" s="9">
        <f>IF(L177="","",P177-O177)</f>
        <v/>
      </c>
      <c r="S177">
        <f>IF(N177="Win",N(S176)+1,0)</f>
        <v/>
      </c>
      <c r="T177">
        <f>IF(N177="Loss",N(T176)+1,0)</f>
        <v/>
      </c>
    </row>
    <row r="178">
      <c r="A178" s="5" t="n"/>
      <c r="B178" s="6" t="n"/>
      <c r="C178" s="6" t="n"/>
      <c r="D178" s="6" t="n"/>
      <c r="E178" s="7" t="n"/>
      <c r="F178" s="7" t="n"/>
      <c r="G178" s="6" t="n"/>
      <c r="H178" s="6" t="n"/>
      <c r="I178" s="7" t="n"/>
      <c r="J178" s="8" t="n"/>
      <c r="K178" s="6" t="n"/>
      <c r="L178" s="9">
        <f>IF(OR(E178="",F178=""),"",ROUND(IF(D178="Short",E178-F178,F178-E178)*G178*H178-I178,2))</f>
        <v/>
      </c>
      <c r="M178" s="10">
        <f>IF(OR(L178="",N(J178)&lt;=0),"",L178/J178)</f>
        <v/>
      </c>
      <c r="N178" s="11">
        <f>IF(L178="","",IF(L178&gt;0,"Win",IF(L178&lt;0,"Loss","Flat")))</f>
        <v/>
      </c>
      <c r="O178" s="9">
        <f>IF(L178="","",SUM($L$2:L178))</f>
        <v/>
      </c>
      <c r="P178" s="9">
        <f>IF(L178="","",MAX(0,MAX($O$2:O178)))</f>
        <v/>
      </c>
      <c r="Q178" s="9">
        <f>IF(L178="","",P178-O178)</f>
        <v/>
      </c>
      <c r="S178">
        <f>IF(N178="Win",N(S177)+1,0)</f>
        <v/>
      </c>
      <c r="T178">
        <f>IF(N178="Loss",N(T177)+1,0)</f>
        <v/>
      </c>
    </row>
    <row r="179">
      <c r="A179" s="5" t="n"/>
      <c r="B179" s="6" t="n"/>
      <c r="C179" s="6" t="n"/>
      <c r="D179" s="6" t="n"/>
      <c r="E179" s="7" t="n"/>
      <c r="F179" s="7" t="n"/>
      <c r="G179" s="6" t="n"/>
      <c r="H179" s="6" t="n"/>
      <c r="I179" s="7" t="n"/>
      <c r="J179" s="8" t="n"/>
      <c r="K179" s="6" t="n"/>
      <c r="L179" s="9">
        <f>IF(OR(E179="",F179=""),"",ROUND(IF(D179="Short",E179-F179,F179-E179)*G179*H179-I179,2))</f>
        <v/>
      </c>
      <c r="M179" s="10">
        <f>IF(OR(L179="",N(J179)&lt;=0),"",L179/J179)</f>
        <v/>
      </c>
      <c r="N179" s="11">
        <f>IF(L179="","",IF(L179&gt;0,"Win",IF(L179&lt;0,"Loss","Flat")))</f>
        <v/>
      </c>
      <c r="O179" s="9">
        <f>IF(L179="","",SUM($L$2:L179))</f>
        <v/>
      </c>
      <c r="P179" s="9">
        <f>IF(L179="","",MAX(0,MAX($O$2:O179)))</f>
        <v/>
      </c>
      <c r="Q179" s="9">
        <f>IF(L179="","",P179-O179)</f>
        <v/>
      </c>
      <c r="S179">
        <f>IF(N179="Win",N(S178)+1,0)</f>
        <v/>
      </c>
      <c r="T179">
        <f>IF(N179="Loss",N(T178)+1,0)</f>
        <v/>
      </c>
    </row>
    <row r="180">
      <c r="A180" s="5" t="n"/>
      <c r="B180" s="6" t="n"/>
      <c r="C180" s="6" t="n"/>
      <c r="D180" s="6" t="n"/>
      <c r="E180" s="7" t="n"/>
      <c r="F180" s="7" t="n"/>
      <c r="G180" s="6" t="n"/>
      <c r="H180" s="6" t="n"/>
      <c r="I180" s="7" t="n"/>
      <c r="J180" s="8" t="n"/>
      <c r="K180" s="6" t="n"/>
      <c r="L180" s="9">
        <f>IF(OR(E180="",F180=""),"",ROUND(IF(D180="Short",E180-F180,F180-E180)*G180*H180-I180,2))</f>
        <v/>
      </c>
      <c r="M180" s="10">
        <f>IF(OR(L180="",N(J180)&lt;=0),"",L180/J180)</f>
        <v/>
      </c>
      <c r="N180" s="11">
        <f>IF(L180="","",IF(L180&gt;0,"Win",IF(L180&lt;0,"Loss","Flat")))</f>
        <v/>
      </c>
      <c r="O180" s="9">
        <f>IF(L180="","",SUM($L$2:L180))</f>
        <v/>
      </c>
      <c r="P180" s="9">
        <f>IF(L180="","",MAX(0,MAX($O$2:O180)))</f>
        <v/>
      </c>
      <c r="Q180" s="9">
        <f>IF(L180="","",P180-O180)</f>
        <v/>
      </c>
      <c r="S180">
        <f>IF(N180="Win",N(S179)+1,0)</f>
        <v/>
      </c>
      <c r="T180">
        <f>IF(N180="Loss",N(T179)+1,0)</f>
        <v/>
      </c>
    </row>
    <row r="181">
      <c r="A181" s="5" t="n"/>
      <c r="B181" s="6" t="n"/>
      <c r="C181" s="6" t="n"/>
      <c r="D181" s="6" t="n"/>
      <c r="E181" s="7" t="n"/>
      <c r="F181" s="7" t="n"/>
      <c r="G181" s="6" t="n"/>
      <c r="H181" s="6" t="n"/>
      <c r="I181" s="7" t="n"/>
      <c r="J181" s="8" t="n"/>
      <c r="K181" s="6" t="n"/>
      <c r="L181" s="9">
        <f>IF(OR(E181="",F181=""),"",ROUND(IF(D181="Short",E181-F181,F181-E181)*G181*H181-I181,2))</f>
        <v/>
      </c>
      <c r="M181" s="10">
        <f>IF(OR(L181="",N(J181)&lt;=0),"",L181/J181)</f>
        <v/>
      </c>
      <c r="N181" s="11">
        <f>IF(L181="","",IF(L181&gt;0,"Win",IF(L181&lt;0,"Loss","Flat")))</f>
        <v/>
      </c>
      <c r="O181" s="9">
        <f>IF(L181="","",SUM($L$2:L181))</f>
        <v/>
      </c>
      <c r="P181" s="9">
        <f>IF(L181="","",MAX(0,MAX($O$2:O181)))</f>
        <v/>
      </c>
      <c r="Q181" s="9">
        <f>IF(L181="","",P181-O181)</f>
        <v/>
      </c>
      <c r="S181">
        <f>IF(N181="Win",N(S180)+1,0)</f>
        <v/>
      </c>
      <c r="T181">
        <f>IF(N181="Loss",N(T180)+1,0)</f>
        <v/>
      </c>
    </row>
    <row r="182">
      <c r="A182" s="5" t="n"/>
      <c r="B182" s="6" t="n"/>
      <c r="C182" s="6" t="n"/>
      <c r="D182" s="6" t="n"/>
      <c r="E182" s="7" t="n"/>
      <c r="F182" s="7" t="n"/>
      <c r="G182" s="6" t="n"/>
      <c r="H182" s="6" t="n"/>
      <c r="I182" s="7" t="n"/>
      <c r="J182" s="8" t="n"/>
      <c r="K182" s="6" t="n"/>
      <c r="L182" s="9">
        <f>IF(OR(E182="",F182=""),"",ROUND(IF(D182="Short",E182-F182,F182-E182)*G182*H182-I182,2))</f>
        <v/>
      </c>
      <c r="M182" s="10">
        <f>IF(OR(L182="",N(J182)&lt;=0),"",L182/J182)</f>
        <v/>
      </c>
      <c r="N182" s="11">
        <f>IF(L182="","",IF(L182&gt;0,"Win",IF(L182&lt;0,"Loss","Flat")))</f>
        <v/>
      </c>
      <c r="O182" s="9">
        <f>IF(L182="","",SUM($L$2:L182))</f>
        <v/>
      </c>
      <c r="P182" s="9">
        <f>IF(L182="","",MAX(0,MAX($O$2:O182)))</f>
        <v/>
      </c>
      <c r="Q182" s="9">
        <f>IF(L182="","",P182-O182)</f>
        <v/>
      </c>
      <c r="S182">
        <f>IF(N182="Win",N(S181)+1,0)</f>
        <v/>
      </c>
      <c r="T182">
        <f>IF(N182="Loss",N(T181)+1,0)</f>
        <v/>
      </c>
    </row>
    <row r="183">
      <c r="A183" s="5" t="n"/>
      <c r="B183" s="6" t="n"/>
      <c r="C183" s="6" t="n"/>
      <c r="D183" s="6" t="n"/>
      <c r="E183" s="7" t="n"/>
      <c r="F183" s="7" t="n"/>
      <c r="G183" s="6" t="n"/>
      <c r="H183" s="6" t="n"/>
      <c r="I183" s="7" t="n"/>
      <c r="J183" s="8" t="n"/>
      <c r="K183" s="6" t="n"/>
      <c r="L183" s="9">
        <f>IF(OR(E183="",F183=""),"",ROUND(IF(D183="Short",E183-F183,F183-E183)*G183*H183-I183,2))</f>
        <v/>
      </c>
      <c r="M183" s="10">
        <f>IF(OR(L183="",N(J183)&lt;=0),"",L183/J183)</f>
        <v/>
      </c>
      <c r="N183" s="11">
        <f>IF(L183="","",IF(L183&gt;0,"Win",IF(L183&lt;0,"Loss","Flat")))</f>
        <v/>
      </c>
      <c r="O183" s="9">
        <f>IF(L183="","",SUM($L$2:L183))</f>
        <v/>
      </c>
      <c r="P183" s="9">
        <f>IF(L183="","",MAX(0,MAX($O$2:O183)))</f>
        <v/>
      </c>
      <c r="Q183" s="9">
        <f>IF(L183="","",P183-O183)</f>
        <v/>
      </c>
      <c r="S183">
        <f>IF(N183="Win",N(S182)+1,0)</f>
        <v/>
      </c>
      <c r="T183">
        <f>IF(N183="Loss",N(T182)+1,0)</f>
        <v/>
      </c>
    </row>
    <row r="184">
      <c r="A184" s="5" t="n"/>
      <c r="B184" s="6" t="n"/>
      <c r="C184" s="6" t="n"/>
      <c r="D184" s="6" t="n"/>
      <c r="E184" s="7" t="n"/>
      <c r="F184" s="7" t="n"/>
      <c r="G184" s="6" t="n"/>
      <c r="H184" s="6" t="n"/>
      <c r="I184" s="7" t="n"/>
      <c r="J184" s="8" t="n"/>
      <c r="K184" s="6" t="n"/>
      <c r="L184" s="9">
        <f>IF(OR(E184="",F184=""),"",ROUND(IF(D184="Short",E184-F184,F184-E184)*G184*H184-I184,2))</f>
        <v/>
      </c>
      <c r="M184" s="10">
        <f>IF(OR(L184="",N(J184)&lt;=0),"",L184/J184)</f>
        <v/>
      </c>
      <c r="N184" s="11">
        <f>IF(L184="","",IF(L184&gt;0,"Win",IF(L184&lt;0,"Loss","Flat")))</f>
        <v/>
      </c>
      <c r="O184" s="9">
        <f>IF(L184="","",SUM($L$2:L184))</f>
        <v/>
      </c>
      <c r="P184" s="9">
        <f>IF(L184="","",MAX(0,MAX($O$2:O184)))</f>
        <v/>
      </c>
      <c r="Q184" s="9">
        <f>IF(L184="","",P184-O184)</f>
        <v/>
      </c>
      <c r="S184">
        <f>IF(N184="Win",N(S183)+1,0)</f>
        <v/>
      </c>
      <c r="T184">
        <f>IF(N184="Loss",N(T183)+1,0)</f>
        <v/>
      </c>
    </row>
    <row r="185">
      <c r="A185" s="5" t="n"/>
      <c r="B185" s="6" t="n"/>
      <c r="C185" s="6" t="n"/>
      <c r="D185" s="6" t="n"/>
      <c r="E185" s="7" t="n"/>
      <c r="F185" s="7" t="n"/>
      <c r="G185" s="6" t="n"/>
      <c r="H185" s="6" t="n"/>
      <c r="I185" s="7" t="n"/>
      <c r="J185" s="8" t="n"/>
      <c r="K185" s="6" t="n"/>
      <c r="L185" s="9">
        <f>IF(OR(E185="",F185=""),"",ROUND(IF(D185="Short",E185-F185,F185-E185)*G185*H185-I185,2))</f>
        <v/>
      </c>
      <c r="M185" s="10">
        <f>IF(OR(L185="",N(J185)&lt;=0),"",L185/J185)</f>
        <v/>
      </c>
      <c r="N185" s="11">
        <f>IF(L185="","",IF(L185&gt;0,"Win",IF(L185&lt;0,"Loss","Flat")))</f>
        <v/>
      </c>
      <c r="O185" s="9">
        <f>IF(L185="","",SUM($L$2:L185))</f>
        <v/>
      </c>
      <c r="P185" s="9">
        <f>IF(L185="","",MAX(0,MAX($O$2:O185)))</f>
        <v/>
      </c>
      <c r="Q185" s="9">
        <f>IF(L185="","",P185-O185)</f>
        <v/>
      </c>
      <c r="S185">
        <f>IF(N185="Win",N(S184)+1,0)</f>
        <v/>
      </c>
      <c r="T185">
        <f>IF(N185="Loss",N(T184)+1,0)</f>
        <v/>
      </c>
    </row>
    <row r="186">
      <c r="A186" s="5" t="n"/>
      <c r="B186" s="6" t="n"/>
      <c r="C186" s="6" t="n"/>
      <c r="D186" s="6" t="n"/>
      <c r="E186" s="7" t="n"/>
      <c r="F186" s="7" t="n"/>
      <c r="G186" s="6" t="n"/>
      <c r="H186" s="6" t="n"/>
      <c r="I186" s="7" t="n"/>
      <c r="J186" s="8" t="n"/>
      <c r="K186" s="6" t="n"/>
      <c r="L186" s="9">
        <f>IF(OR(E186="",F186=""),"",ROUND(IF(D186="Short",E186-F186,F186-E186)*G186*H186-I186,2))</f>
        <v/>
      </c>
      <c r="M186" s="10">
        <f>IF(OR(L186="",N(J186)&lt;=0),"",L186/J186)</f>
        <v/>
      </c>
      <c r="N186" s="11">
        <f>IF(L186="","",IF(L186&gt;0,"Win",IF(L186&lt;0,"Loss","Flat")))</f>
        <v/>
      </c>
      <c r="O186" s="9">
        <f>IF(L186="","",SUM($L$2:L186))</f>
        <v/>
      </c>
      <c r="P186" s="9">
        <f>IF(L186="","",MAX(0,MAX($O$2:O186)))</f>
        <v/>
      </c>
      <c r="Q186" s="9">
        <f>IF(L186="","",P186-O186)</f>
        <v/>
      </c>
      <c r="S186">
        <f>IF(N186="Win",N(S185)+1,0)</f>
        <v/>
      </c>
      <c r="T186">
        <f>IF(N186="Loss",N(T185)+1,0)</f>
        <v/>
      </c>
    </row>
    <row r="187">
      <c r="A187" s="5" t="n"/>
      <c r="B187" s="6" t="n"/>
      <c r="C187" s="6" t="n"/>
      <c r="D187" s="6" t="n"/>
      <c r="E187" s="7" t="n"/>
      <c r="F187" s="7" t="n"/>
      <c r="G187" s="6" t="n"/>
      <c r="H187" s="6" t="n"/>
      <c r="I187" s="7" t="n"/>
      <c r="J187" s="8" t="n"/>
      <c r="K187" s="6" t="n"/>
      <c r="L187" s="9">
        <f>IF(OR(E187="",F187=""),"",ROUND(IF(D187="Short",E187-F187,F187-E187)*G187*H187-I187,2))</f>
        <v/>
      </c>
      <c r="M187" s="10">
        <f>IF(OR(L187="",N(J187)&lt;=0),"",L187/J187)</f>
        <v/>
      </c>
      <c r="N187" s="11">
        <f>IF(L187="","",IF(L187&gt;0,"Win",IF(L187&lt;0,"Loss","Flat")))</f>
        <v/>
      </c>
      <c r="O187" s="9">
        <f>IF(L187="","",SUM($L$2:L187))</f>
        <v/>
      </c>
      <c r="P187" s="9">
        <f>IF(L187="","",MAX(0,MAX($O$2:O187)))</f>
        <v/>
      </c>
      <c r="Q187" s="9">
        <f>IF(L187="","",P187-O187)</f>
        <v/>
      </c>
      <c r="S187">
        <f>IF(N187="Win",N(S186)+1,0)</f>
        <v/>
      </c>
      <c r="T187">
        <f>IF(N187="Loss",N(T186)+1,0)</f>
        <v/>
      </c>
    </row>
    <row r="188">
      <c r="A188" s="5" t="n"/>
      <c r="B188" s="6" t="n"/>
      <c r="C188" s="6" t="n"/>
      <c r="D188" s="6" t="n"/>
      <c r="E188" s="7" t="n"/>
      <c r="F188" s="7" t="n"/>
      <c r="G188" s="6" t="n"/>
      <c r="H188" s="6" t="n"/>
      <c r="I188" s="7" t="n"/>
      <c r="J188" s="8" t="n"/>
      <c r="K188" s="6" t="n"/>
      <c r="L188" s="9">
        <f>IF(OR(E188="",F188=""),"",ROUND(IF(D188="Short",E188-F188,F188-E188)*G188*H188-I188,2))</f>
        <v/>
      </c>
      <c r="M188" s="10">
        <f>IF(OR(L188="",N(J188)&lt;=0),"",L188/J188)</f>
        <v/>
      </c>
      <c r="N188" s="11">
        <f>IF(L188="","",IF(L188&gt;0,"Win",IF(L188&lt;0,"Loss","Flat")))</f>
        <v/>
      </c>
      <c r="O188" s="9">
        <f>IF(L188="","",SUM($L$2:L188))</f>
        <v/>
      </c>
      <c r="P188" s="9">
        <f>IF(L188="","",MAX(0,MAX($O$2:O188)))</f>
        <v/>
      </c>
      <c r="Q188" s="9">
        <f>IF(L188="","",P188-O188)</f>
        <v/>
      </c>
      <c r="S188">
        <f>IF(N188="Win",N(S187)+1,0)</f>
        <v/>
      </c>
      <c r="T188">
        <f>IF(N188="Loss",N(T187)+1,0)</f>
        <v/>
      </c>
    </row>
    <row r="189">
      <c r="A189" s="5" t="n"/>
      <c r="B189" s="6" t="n"/>
      <c r="C189" s="6" t="n"/>
      <c r="D189" s="6" t="n"/>
      <c r="E189" s="7" t="n"/>
      <c r="F189" s="7" t="n"/>
      <c r="G189" s="6" t="n"/>
      <c r="H189" s="6" t="n"/>
      <c r="I189" s="7" t="n"/>
      <c r="J189" s="8" t="n"/>
      <c r="K189" s="6" t="n"/>
      <c r="L189" s="9">
        <f>IF(OR(E189="",F189=""),"",ROUND(IF(D189="Short",E189-F189,F189-E189)*G189*H189-I189,2))</f>
        <v/>
      </c>
      <c r="M189" s="10">
        <f>IF(OR(L189="",N(J189)&lt;=0),"",L189/J189)</f>
        <v/>
      </c>
      <c r="N189" s="11">
        <f>IF(L189="","",IF(L189&gt;0,"Win",IF(L189&lt;0,"Loss","Flat")))</f>
        <v/>
      </c>
      <c r="O189" s="9">
        <f>IF(L189="","",SUM($L$2:L189))</f>
        <v/>
      </c>
      <c r="P189" s="9">
        <f>IF(L189="","",MAX(0,MAX($O$2:O189)))</f>
        <v/>
      </c>
      <c r="Q189" s="9">
        <f>IF(L189="","",P189-O189)</f>
        <v/>
      </c>
      <c r="S189">
        <f>IF(N189="Win",N(S188)+1,0)</f>
        <v/>
      </c>
      <c r="T189">
        <f>IF(N189="Loss",N(T188)+1,0)</f>
        <v/>
      </c>
    </row>
    <row r="190">
      <c r="A190" s="5" t="n"/>
      <c r="B190" s="6" t="n"/>
      <c r="C190" s="6" t="n"/>
      <c r="D190" s="6" t="n"/>
      <c r="E190" s="7" t="n"/>
      <c r="F190" s="7" t="n"/>
      <c r="G190" s="6" t="n"/>
      <c r="H190" s="6" t="n"/>
      <c r="I190" s="7" t="n"/>
      <c r="J190" s="8" t="n"/>
      <c r="K190" s="6" t="n"/>
      <c r="L190" s="9">
        <f>IF(OR(E190="",F190=""),"",ROUND(IF(D190="Short",E190-F190,F190-E190)*G190*H190-I190,2))</f>
        <v/>
      </c>
      <c r="M190" s="10">
        <f>IF(OR(L190="",N(J190)&lt;=0),"",L190/J190)</f>
        <v/>
      </c>
      <c r="N190" s="11">
        <f>IF(L190="","",IF(L190&gt;0,"Win",IF(L190&lt;0,"Loss","Flat")))</f>
        <v/>
      </c>
      <c r="O190" s="9">
        <f>IF(L190="","",SUM($L$2:L190))</f>
        <v/>
      </c>
      <c r="P190" s="9">
        <f>IF(L190="","",MAX(0,MAX($O$2:O190)))</f>
        <v/>
      </c>
      <c r="Q190" s="9">
        <f>IF(L190="","",P190-O190)</f>
        <v/>
      </c>
      <c r="S190">
        <f>IF(N190="Win",N(S189)+1,0)</f>
        <v/>
      </c>
      <c r="T190">
        <f>IF(N190="Loss",N(T189)+1,0)</f>
        <v/>
      </c>
    </row>
    <row r="191">
      <c r="A191" s="5" t="n"/>
      <c r="B191" s="6" t="n"/>
      <c r="C191" s="6" t="n"/>
      <c r="D191" s="6" t="n"/>
      <c r="E191" s="7" t="n"/>
      <c r="F191" s="7" t="n"/>
      <c r="G191" s="6" t="n"/>
      <c r="H191" s="6" t="n"/>
      <c r="I191" s="7" t="n"/>
      <c r="J191" s="8" t="n"/>
      <c r="K191" s="6" t="n"/>
      <c r="L191" s="9">
        <f>IF(OR(E191="",F191=""),"",ROUND(IF(D191="Short",E191-F191,F191-E191)*G191*H191-I191,2))</f>
        <v/>
      </c>
      <c r="M191" s="10">
        <f>IF(OR(L191="",N(J191)&lt;=0),"",L191/J191)</f>
        <v/>
      </c>
      <c r="N191" s="11">
        <f>IF(L191="","",IF(L191&gt;0,"Win",IF(L191&lt;0,"Loss","Flat")))</f>
        <v/>
      </c>
      <c r="O191" s="9">
        <f>IF(L191="","",SUM($L$2:L191))</f>
        <v/>
      </c>
      <c r="P191" s="9">
        <f>IF(L191="","",MAX(0,MAX($O$2:O191)))</f>
        <v/>
      </c>
      <c r="Q191" s="9">
        <f>IF(L191="","",P191-O191)</f>
        <v/>
      </c>
      <c r="S191">
        <f>IF(N191="Win",N(S190)+1,0)</f>
        <v/>
      </c>
      <c r="T191">
        <f>IF(N191="Loss",N(T190)+1,0)</f>
        <v/>
      </c>
    </row>
    <row r="192">
      <c r="A192" s="5" t="n"/>
      <c r="B192" s="6" t="n"/>
      <c r="C192" s="6" t="n"/>
      <c r="D192" s="6" t="n"/>
      <c r="E192" s="7" t="n"/>
      <c r="F192" s="7" t="n"/>
      <c r="G192" s="6" t="n"/>
      <c r="H192" s="6" t="n"/>
      <c r="I192" s="7" t="n"/>
      <c r="J192" s="8" t="n"/>
      <c r="K192" s="6" t="n"/>
      <c r="L192" s="9">
        <f>IF(OR(E192="",F192=""),"",ROUND(IF(D192="Short",E192-F192,F192-E192)*G192*H192-I192,2))</f>
        <v/>
      </c>
      <c r="M192" s="10">
        <f>IF(OR(L192="",N(J192)&lt;=0),"",L192/J192)</f>
        <v/>
      </c>
      <c r="N192" s="11">
        <f>IF(L192="","",IF(L192&gt;0,"Win",IF(L192&lt;0,"Loss","Flat")))</f>
        <v/>
      </c>
      <c r="O192" s="9">
        <f>IF(L192="","",SUM($L$2:L192))</f>
        <v/>
      </c>
      <c r="P192" s="9">
        <f>IF(L192="","",MAX(0,MAX($O$2:O192)))</f>
        <v/>
      </c>
      <c r="Q192" s="9">
        <f>IF(L192="","",P192-O192)</f>
        <v/>
      </c>
      <c r="S192">
        <f>IF(N192="Win",N(S191)+1,0)</f>
        <v/>
      </c>
      <c r="T192">
        <f>IF(N192="Loss",N(T191)+1,0)</f>
        <v/>
      </c>
    </row>
    <row r="193">
      <c r="A193" s="5" t="n"/>
      <c r="B193" s="6" t="n"/>
      <c r="C193" s="6" t="n"/>
      <c r="D193" s="6" t="n"/>
      <c r="E193" s="7" t="n"/>
      <c r="F193" s="7" t="n"/>
      <c r="G193" s="6" t="n"/>
      <c r="H193" s="6" t="n"/>
      <c r="I193" s="7" t="n"/>
      <c r="J193" s="8" t="n"/>
      <c r="K193" s="6" t="n"/>
      <c r="L193" s="9">
        <f>IF(OR(E193="",F193=""),"",ROUND(IF(D193="Short",E193-F193,F193-E193)*G193*H193-I193,2))</f>
        <v/>
      </c>
      <c r="M193" s="10">
        <f>IF(OR(L193="",N(J193)&lt;=0),"",L193/J193)</f>
        <v/>
      </c>
      <c r="N193" s="11">
        <f>IF(L193="","",IF(L193&gt;0,"Win",IF(L193&lt;0,"Loss","Flat")))</f>
        <v/>
      </c>
      <c r="O193" s="9">
        <f>IF(L193="","",SUM($L$2:L193))</f>
        <v/>
      </c>
      <c r="P193" s="9">
        <f>IF(L193="","",MAX(0,MAX($O$2:O193)))</f>
        <v/>
      </c>
      <c r="Q193" s="9">
        <f>IF(L193="","",P193-O193)</f>
        <v/>
      </c>
      <c r="S193">
        <f>IF(N193="Win",N(S192)+1,0)</f>
        <v/>
      </c>
      <c r="T193">
        <f>IF(N193="Loss",N(T192)+1,0)</f>
        <v/>
      </c>
    </row>
    <row r="194">
      <c r="A194" s="5" t="n"/>
      <c r="B194" s="6" t="n"/>
      <c r="C194" s="6" t="n"/>
      <c r="D194" s="6" t="n"/>
      <c r="E194" s="7" t="n"/>
      <c r="F194" s="7" t="n"/>
      <c r="G194" s="6" t="n"/>
      <c r="H194" s="6" t="n"/>
      <c r="I194" s="7" t="n"/>
      <c r="J194" s="8" t="n"/>
      <c r="K194" s="6" t="n"/>
      <c r="L194" s="9">
        <f>IF(OR(E194="",F194=""),"",ROUND(IF(D194="Short",E194-F194,F194-E194)*G194*H194-I194,2))</f>
        <v/>
      </c>
      <c r="M194" s="10">
        <f>IF(OR(L194="",N(J194)&lt;=0),"",L194/J194)</f>
        <v/>
      </c>
      <c r="N194" s="11">
        <f>IF(L194="","",IF(L194&gt;0,"Win",IF(L194&lt;0,"Loss","Flat")))</f>
        <v/>
      </c>
      <c r="O194" s="9">
        <f>IF(L194="","",SUM($L$2:L194))</f>
        <v/>
      </c>
      <c r="P194" s="9">
        <f>IF(L194="","",MAX(0,MAX($O$2:O194)))</f>
        <v/>
      </c>
      <c r="Q194" s="9">
        <f>IF(L194="","",P194-O194)</f>
        <v/>
      </c>
      <c r="S194">
        <f>IF(N194="Win",N(S193)+1,0)</f>
        <v/>
      </c>
      <c r="T194">
        <f>IF(N194="Loss",N(T193)+1,0)</f>
        <v/>
      </c>
    </row>
    <row r="195">
      <c r="A195" s="5" t="n"/>
      <c r="B195" s="6" t="n"/>
      <c r="C195" s="6" t="n"/>
      <c r="D195" s="6" t="n"/>
      <c r="E195" s="7" t="n"/>
      <c r="F195" s="7" t="n"/>
      <c r="G195" s="6" t="n"/>
      <c r="H195" s="6" t="n"/>
      <c r="I195" s="7" t="n"/>
      <c r="J195" s="8" t="n"/>
      <c r="K195" s="6" t="n"/>
      <c r="L195" s="9">
        <f>IF(OR(E195="",F195=""),"",ROUND(IF(D195="Short",E195-F195,F195-E195)*G195*H195-I195,2))</f>
        <v/>
      </c>
      <c r="M195" s="10">
        <f>IF(OR(L195="",N(J195)&lt;=0),"",L195/J195)</f>
        <v/>
      </c>
      <c r="N195" s="11">
        <f>IF(L195="","",IF(L195&gt;0,"Win",IF(L195&lt;0,"Loss","Flat")))</f>
        <v/>
      </c>
      <c r="O195" s="9">
        <f>IF(L195="","",SUM($L$2:L195))</f>
        <v/>
      </c>
      <c r="P195" s="9">
        <f>IF(L195="","",MAX(0,MAX($O$2:O195)))</f>
        <v/>
      </c>
      <c r="Q195" s="9">
        <f>IF(L195="","",P195-O195)</f>
        <v/>
      </c>
      <c r="S195">
        <f>IF(N195="Win",N(S194)+1,0)</f>
        <v/>
      </c>
      <c r="T195">
        <f>IF(N195="Loss",N(T194)+1,0)</f>
        <v/>
      </c>
    </row>
    <row r="196">
      <c r="A196" s="5" t="n"/>
      <c r="B196" s="6" t="n"/>
      <c r="C196" s="6" t="n"/>
      <c r="D196" s="6" t="n"/>
      <c r="E196" s="7" t="n"/>
      <c r="F196" s="7" t="n"/>
      <c r="G196" s="6" t="n"/>
      <c r="H196" s="6" t="n"/>
      <c r="I196" s="7" t="n"/>
      <c r="J196" s="8" t="n"/>
      <c r="K196" s="6" t="n"/>
      <c r="L196" s="9">
        <f>IF(OR(E196="",F196=""),"",ROUND(IF(D196="Short",E196-F196,F196-E196)*G196*H196-I196,2))</f>
        <v/>
      </c>
      <c r="M196" s="10">
        <f>IF(OR(L196="",N(J196)&lt;=0),"",L196/J196)</f>
        <v/>
      </c>
      <c r="N196" s="11">
        <f>IF(L196="","",IF(L196&gt;0,"Win",IF(L196&lt;0,"Loss","Flat")))</f>
        <v/>
      </c>
      <c r="O196" s="9">
        <f>IF(L196="","",SUM($L$2:L196))</f>
        <v/>
      </c>
      <c r="P196" s="9">
        <f>IF(L196="","",MAX(0,MAX($O$2:O196)))</f>
        <v/>
      </c>
      <c r="Q196" s="9">
        <f>IF(L196="","",P196-O196)</f>
        <v/>
      </c>
      <c r="S196">
        <f>IF(N196="Win",N(S195)+1,0)</f>
        <v/>
      </c>
      <c r="T196">
        <f>IF(N196="Loss",N(T195)+1,0)</f>
        <v/>
      </c>
    </row>
    <row r="197">
      <c r="A197" s="5" t="n"/>
      <c r="B197" s="6" t="n"/>
      <c r="C197" s="6" t="n"/>
      <c r="D197" s="6" t="n"/>
      <c r="E197" s="7" t="n"/>
      <c r="F197" s="7" t="n"/>
      <c r="G197" s="6" t="n"/>
      <c r="H197" s="6" t="n"/>
      <c r="I197" s="7" t="n"/>
      <c r="J197" s="8" t="n"/>
      <c r="K197" s="6" t="n"/>
      <c r="L197" s="9">
        <f>IF(OR(E197="",F197=""),"",ROUND(IF(D197="Short",E197-F197,F197-E197)*G197*H197-I197,2))</f>
        <v/>
      </c>
      <c r="M197" s="10">
        <f>IF(OR(L197="",N(J197)&lt;=0),"",L197/J197)</f>
        <v/>
      </c>
      <c r="N197" s="11">
        <f>IF(L197="","",IF(L197&gt;0,"Win",IF(L197&lt;0,"Loss","Flat")))</f>
        <v/>
      </c>
      <c r="O197" s="9">
        <f>IF(L197="","",SUM($L$2:L197))</f>
        <v/>
      </c>
      <c r="P197" s="9">
        <f>IF(L197="","",MAX(0,MAX($O$2:O197)))</f>
        <v/>
      </c>
      <c r="Q197" s="9">
        <f>IF(L197="","",P197-O197)</f>
        <v/>
      </c>
      <c r="S197">
        <f>IF(N197="Win",N(S196)+1,0)</f>
        <v/>
      </c>
      <c r="T197">
        <f>IF(N197="Loss",N(T196)+1,0)</f>
        <v/>
      </c>
    </row>
    <row r="198">
      <c r="A198" s="5" t="n"/>
      <c r="B198" s="6" t="n"/>
      <c r="C198" s="6" t="n"/>
      <c r="D198" s="6" t="n"/>
      <c r="E198" s="7" t="n"/>
      <c r="F198" s="7" t="n"/>
      <c r="G198" s="6" t="n"/>
      <c r="H198" s="6" t="n"/>
      <c r="I198" s="7" t="n"/>
      <c r="J198" s="8" t="n"/>
      <c r="K198" s="6" t="n"/>
      <c r="L198" s="9">
        <f>IF(OR(E198="",F198=""),"",ROUND(IF(D198="Short",E198-F198,F198-E198)*G198*H198-I198,2))</f>
        <v/>
      </c>
      <c r="M198" s="10">
        <f>IF(OR(L198="",N(J198)&lt;=0),"",L198/J198)</f>
        <v/>
      </c>
      <c r="N198" s="11">
        <f>IF(L198="","",IF(L198&gt;0,"Win",IF(L198&lt;0,"Loss","Flat")))</f>
        <v/>
      </c>
      <c r="O198" s="9">
        <f>IF(L198="","",SUM($L$2:L198))</f>
        <v/>
      </c>
      <c r="P198" s="9">
        <f>IF(L198="","",MAX(0,MAX($O$2:O198)))</f>
        <v/>
      </c>
      <c r="Q198" s="9">
        <f>IF(L198="","",P198-O198)</f>
        <v/>
      </c>
      <c r="S198">
        <f>IF(N198="Win",N(S197)+1,0)</f>
        <v/>
      </c>
      <c r="T198">
        <f>IF(N198="Loss",N(T197)+1,0)</f>
        <v/>
      </c>
    </row>
    <row r="199">
      <c r="A199" s="5" t="n"/>
      <c r="B199" s="6" t="n"/>
      <c r="C199" s="6" t="n"/>
      <c r="D199" s="6" t="n"/>
      <c r="E199" s="7" t="n"/>
      <c r="F199" s="7" t="n"/>
      <c r="G199" s="6" t="n"/>
      <c r="H199" s="6" t="n"/>
      <c r="I199" s="7" t="n"/>
      <c r="J199" s="8" t="n"/>
      <c r="K199" s="6" t="n"/>
      <c r="L199" s="9">
        <f>IF(OR(E199="",F199=""),"",ROUND(IF(D199="Short",E199-F199,F199-E199)*G199*H199-I199,2))</f>
        <v/>
      </c>
      <c r="M199" s="10">
        <f>IF(OR(L199="",N(J199)&lt;=0),"",L199/J199)</f>
        <v/>
      </c>
      <c r="N199" s="11">
        <f>IF(L199="","",IF(L199&gt;0,"Win",IF(L199&lt;0,"Loss","Flat")))</f>
        <v/>
      </c>
      <c r="O199" s="9">
        <f>IF(L199="","",SUM($L$2:L199))</f>
        <v/>
      </c>
      <c r="P199" s="9">
        <f>IF(L199="","",MAX(0,MAX($O$2:O199)))</f>
        <v/>
      </c>
      <c r="Q199" s="9">
        <f>IF(L199="","",P199-O199)</f>
        <v/>
      </c>
      <c r="S199">
        <f>IF(N199="Win",N(S198)+1,0)</f>
        <v/>
      </c>
      <c r="T199">
        <f>IF(N199="Loss",N(T198)+1,0)</f>
        <v/>
      </c>
    </row>
    <row r="200">
      <c r="A200" s="5" t="n"/>
      <c r="B200" s="6" t="n"/>
      <c r="C200" s="6" t="n"/>
      <c r="D200" s="6" t="n"/>
      <c r="E200" s="7" t="n"/>
      <c r="F200" s="7" t="n"/>
      <c r="G200" s="6" t="n"/>
      <c r="H200" s="6" t="n"/>
      <c r="I200" s="7" t="n"/>
      <c r="J200" s="8" t="n"/>
      <c r="K200" s="6" t="n"/>
      <c r="L200" s="9">
        <f>IF(OR(E200="",F200=""),"",ROUND(IF(D200="Short",E200-F200,F200-E200)*G200*H200-I200,2))</f>
        <v/>
      </c>
      <c r="M200" s="10">
        <f>IF(OR(L200="",N(J200)&lt;=0),"",L200/J200)</f>
        <v/>
      </c>
      <c r="N200" s="11">
        <f>IF(L200="","",IF(L200&gt;0,"Win",IF(L200&lt;0,"Loss","Flat")))</f>
        <v/>
      </c>
      <c r="O200" s="9">
        <f>IF(L200="","",SUM($L$2:L200))</f>
        <v/>
      </c>
      <c r="P200" s="9">
        <f>IF(L200="","",MAX(0,MAX($O$2:O200)))</f>
        <v/>
      </c>
      <c r="Q200" s="9">
        <f>IF(L200="","",P200-O200)</f>
        <v/>
      </c>
      <c r="S200">
        <f>IF(N200="Win",N(S199)+1,0)</f>
        <v/>
      </c>
      <c r="T200">
        <f>IF(N200="Loss",N(T199)+1,0)</f>
        <v/>
      </c>
    </row>
    <row r="201">
      <c r="A201" s="5" t="n"/>
      <c r="B201" s="6" t="n"/>
      <c r="C201" s="6" t="n"/>
      <c r="D201" s="6" t="n"/>
      <c r="E201" s="7" t="n"/>
      <c r="F201" s="7" t="n"/>
      <c r="G201" s="6" t="n"/>
      <c r="H201" s="6" t="n"/>
      <c r="I201" s="7" t="n"/>
      <c r="J201" s="8" t="n"/>
      <c r="K201" s="6" t="n"/>
      <c r="L201" s="9">
        <f>IF(OR(E201="",F201=""),"",ROUND(IF(D201="Short",E201-F201,F201-E201)*G201*H201-I201,2))</f>
        <v/>
      </c>
      <c r="M201" s="10">
        <f>IF(OR(L201="",N(J201)&lt;=0),"",L201/J201)</f>
        <v/>
      </c>
      <c r="N201" s="11">
        <f>IF(L201="","",IF(L201&gt;0,"Win",IF(L201&lt;0,"Loss","Flat")))</f>
        <v/>
      </c>
      <c r="O201" s="9">
        <f>IF(L201="","",SUM($L$2:L201))</f>
        <v/>
      </c>
      <c r="P201" s="9">
        <f>IF(L201="","",MAX(0,MAX($O$2:O201)))</f>
        <v/>
      </c>
      <c r="Q201" s="9">
        <f>IF(L201="","",P201-O201)</f>
        <v/>
      </c>
      <c r="S201">
        <f>IF(N201="Win",N(S200)+1,0)</f>
        <v/>
      </c>
      <c r="T201">
        <f>IF(N201="Loss",N(T200)+1,0)</f>
        <v/>
      </c>
    </row>
    <row r="202">
      <c r="A202" s="5" t="n"/>
      <c r="B202" s="6" t="n"/>
      <c r="C202" s="6" t="n"/>
      <c r="D202" s="6" t="n"/>
      <c r="E202" s="7" t="n"/>
      <c r="F202" s="7" t="n"/>
      <c r="G202" s="6" t="n"/>
      <c r="H202" s="6" t="n"/>
      <c r="I202" s="7" t="n"/>
      <c r="J202" s="8" t="n"/>
      <c r="K202" s="6" t="n"/>
      <c r="L202" s="9">
        <f>IF(OR(E202="",F202=""),"",ROUND(IF(D202="Short",E202-F202,F202-E202)*G202*H202-I202,2))</f>
        <v/>
      </c>
      <c r="M202" s="10">
        <f>IF(OR(L202="",N(J202)&lt;=0),"",L202/J202)</f>
        <v/>
      </c>
      <c r="N202" s="11">
        <f>IF(L202="","",IF(L202&gt;0,"Win",IF(L202&lt;0,"Loss","Flat")))</f>
        <v/>
      </c>
      <c r="O202" s="9">
        <f>IF(L202="","",SUM($L$2:L202))</f>
        <v/>
      </c>
      <c r="P202" s="9">
        <f>IF(L202="","",MAX(0,MAX($O$2:O202)))</f>
        <v/>
      </c>
      <c r="Q202" s="9">
        <f>IF(L202="","",P202-O202)</f>
        <v/>
      </c>
      <c r="S202">
        <f>IF(N202="Win",N(S201)+1,0)</f>
        <v/>
      </c>
      <c r="T202">
        <f>IF(N202="Loss",N(T201)+1,0)</f>
        <v/>
      </c>
    </row>
    <row r="203">
      <c r="A203" s="5" t="n"/>
      <c r="B203" s="6" t="n"/>
      <c r="C203" s="6" t="n"/>
      <c r="D203" s="6" t="n"/>
      <c r="E203" s="7" t="n"/>
      <c r="F203" s="7" t="n"/>
      <c r="G203" s="6" t="n"/>
      <c r="H203" s="6" t="n"/>
      <c r="I203" s="7" t="n"/>
      <c r="J203" s="8" t="n"/>
      <c r="K203" s="6" t="n"/>
      <c r="L203" s="9">
        <f>IF(OR(E203="",F203=""),"",ROUND(IF(D203="Short",E203-F203,F203-E203)*G203*H203-I203,2))</f>
        <v/>
      </c>
      <c r="M203" s="10">
        <f>IF(OR(L203="",N(J203)&lt;=0),"",L203/J203)</f>
        <v/>
      </c>
      <c r="N203" s="11">
        <f>IF(L203="","",IF(L203&gt;0,"Win",IF(L203&lt;0,"Loss","Flat")))</f>
        <v/>
      </c>
      <c r="O203" s="9">
        <f>IF(L203="","",SUM($L$2:L203))</f>
        <v/>
      </c>
      <c r="P203" s="9">
        <f>IF(L203="","",MAX(0,MAX($O$2:O203)))</f>
        <v/>
      </c>
      <c r="Q203" s="9">
        <f>IF(L203="","",P203-O203)</f>
        <v/>
      </c>
      <c r="S203">
        <f>IF(N203="Win",N(S202)+1,0)</f>
        <v/>
      </c>
      <c r="T203">
        <f>IF(N203="Loss",N(T202)+1,0)</f>
        <v/>
      </c>
    </row>
    <row r="204">
      <c r="A204" s="5" t="n"/>
      <c r="B204" s="6" t="n"/>
      <c r="C204" s="6" t="n"/>
      <c r="D204" s="6" t="n"/>
      <c r="E204" s="7" t="n"/>
      <c r="F204" s="7" t="n"/>
      <c r="G204" s="6" t="n"/>
      <c r="H204" s="6" t="n"/>
      <c r="I204" s="7" t="n"/>
      <c r="J204" s="8" t="n"/>
      <c r="K204" s="6" t="n"/>
      <c r="L204" s="9">
        <f>IF(OR(E204="",F204=""),"",ROUND(IF(D204="Short",E204-F204,F204-E204)*G204*H204-I204,2))</f>
        <v/>
      </c>
      <c r="M204" s="10">
        <f>IF(OR(L204="",N(J204)&lt;=0),"",L204/J204)</f>
        <v/>
      </c>
      <c r="N204" s="11">
        <f>IF(L204="","",IF(L204&gt;0,"Win",IF(L204&lt;0,"Loss","Flat")))</f>
        <v/>
      </c>
      <c r="O204" s="9">
        <f>IF(L204="","",SUM($L$2:L204))</f>
        <v/>
      </c>
      <c r="P204" s="9">
        <f>IF(L204="","",MAX(0,MAX($O$2:O204)))</f>
        <v/>
      </c>
      <c r="Q204" s="9">
        <f>IF(L204="","",P204-O204)</f>
        <v/>
      </c>
      <c r="S204">
        <f>IF(N204="Win",N(S203)+1,0)</f>
        <v/>
      </c>
      <c r="T204">
        <f>IF(N204="Loss",N(T203)+1,0)</f>
        <v/>
      </c>
    </row>
    <row r="205">
      <c r="A205" s="5" t="n"/>
      <c r="B205" s="6" t="n"/>
      <c r="C205" s="6" t="n"/>
      <c r="D205" s="6" t="n"/>
      <c r="E205" s="7" t="n"/>
      <c r="F205" s="7" t="n"/>
      <c r="G205" s="6" t="n"/>
      <c r="H205" s="6" t="n"/>
      <c r="I205" s="7" t="n"/>
      <c r="J205" s="8" t="n"/>
      <c r="K205" s="6" t="n"/>
      <c r="L205" s="9">
        <f>IF(OR(E205="",F205=""),"",ROUND(IF(D205="Short",E205-F205,F205-E205)*G205*H205-I205,2))</f>
        <v/>
      </c>
      <c r="M205" s="10">
        <f>IF(OR(L205="",N(J205)&lt;=0),"",L205/J205)</f>
        <v/>
      </c>
      <c r="N205" s="11">
        <f>IF(L205="","",IF(L205&gt;0,"Win",IF(L205&lt;0,"Loss","Flat")))</f>
        <v/>
      </c>
      <c r="O205" s="9">
        <f>IF(L205="","",SUM($L$2:L205))</f>
        <v/>
      </c>
      <c r="P205" s="9">
        <f>IF(L205="","",MAX(0,MAX($O$2:O205)))</f>
        <v/>
      </c>
      <c r="Q205" s="9">
        <f>IF(L205="","",P205-O205)</f>
        <v/>
      </c>
      <c r="S205">
        <f>IF(N205="Win",N(S204)+1,0)</f>
        <v/>
      </c>
      <c r="T205">
        <f>IF(N205="Loss",N(T204)+1,0)</f>
        <v/>
      </c>
    </row>
    <row r="206">
      <c r="A206" s="5" t="n"/>
      <c r="B206" s="6" t="n"/>
      <c r="C206" s="6" t="n"/>
      <c r="D206" s="6" t="n"/>
      <c r="E206" s="7" t="n"/>
      <c r="F206" s="7" t="n"/>
      <c r="G206" s="6" t="n"/>
      <c r="H206" s="6" t="n"/>
      <c r="I206" s="7" t="n"/>
      <c r="J206" s="8" t="n"/>
      <c r="K206" s="6" t="n"/>
      <c r="L206" s="9">
        <f>IF(OR(E206="",F206=""),"",ROUND(IF(D206="Short",E206-F206,F206-E206)*G206*H206-I206,2))</f>
        <v/>
      </c>
      <c r="M206" s="10">
        <f>IF(OR(L206="",N(J206)&lt;=0),"",L206/J206)</f>
        <v/>
      </c>
      <c r="N206" s="11">
        <f>IF(L206="","",IF(L206&gt;0,"Win",IF(L206&lt;0,"Loss","Flat")))</f>
        <v/>
      </c>
      <c r="O206" s="9">
        <f>IF(L206="","",SUM($L$2:L206))</f>
        <v/>
      </c>
      <c r="P206" s="9">
        <f>IF(L206="","",MAX(0,MAX($O$2:O206)))</f>
        <v/>
      </c>
      <c r="Q206" s="9">
        <f>IF(L206="","",P206-O206)</f>
        <v/>
      </c>
      <c r="S206">
        <f>IF(N206="Win",N(S205)+1,0)</f>
        <v/>
      </c>
      <c r="T206">
        <f>IF(N206="Loss",N(T205)+1,0)</f>
        <v/>
      </c>
    </row>
    <row r="207">
      <c r="A207" s="5" t="n"/>
      <c r="B207" s="6" t="n"/>
      <c r="C207" s="6" t="n"/>
      <c r="D207" s="6" t="n"/>
      <c r="E207" s="7" t="n"/>
      <c r="F207" s="7" t="n"/>
      <c r="G207" s="6" t="n"/>
      <c r="H207" s="6" t="n"/>
      <c r="I207" s="7" t="n"/>
      <c r="J207" s="8" t="n"/>
      <c r="K207" s="6" t="n"/>
      <c r="L207" s="9">
        <f>IF(OR(E207="",F207=""),"",ROUND(IF(D207="Short",E207-F207,F207-E207)*G207*H207-I207,2))</f>
        <v/>
      </c>
      <c r="M207" s="10">
        <f>IF(OR(L207="",N(J207)&lt;=0),"",L207/J207)</f>
        <v/>
      </c>
      <c r="N207" s="11">
        <f>IF(L207="","",IF(L207&gt;0,"Win",IF(L207&lt;0,"Loss","Flat")))</f>
        <v/>
      </c>
      <c r="O207" s="9">
        <f>IF(L207="","",SUM($L$2:L207))</f>
        <v/>
      </c>
      <c r="P207" s="9">
        <f>IF(L207="","",MAX(0,MAX($O$2:O207)))</f>
        <v/>
      </c>
      <c r="Q207" s="9">
        <f>IF(L207="","",P207-O207)</f>
        <v/>
      </c>
      <c r="S207">
        <f>IF(N207="Win",N(S206)+1,0)</f>
        <v/>
      </c>
      <c r="T207">
        <f>IF(N207="Loss",N(T206)+1,0)</f>
        <v/>
      </c>
    </row>
    <row r="208">
      <c r="A208" s="5" t="n"/>
      <c r="B208" s="6" t="n"/>
      <c r="C208" s="6" t="n"/>
      <c r="D208" s="6" t="n"/>
      <c r="E208" s="7" t="n"/>
      <c r="F208" s="7" t="n"/>
      <c r="G208" s="6" t="n"/>
      <c r="H208" s="6" t="n"/>
      <c r="I208" s="7" t="n"/>
      <c r="J208" s="8" t="n"/>
      <c r="K208" s="6" t="n"/>
      <c r="L208" s="9">
        <f>IF(OR(E208="",F208=""),"",ROUND(IF(D208="Short",E208-F208,F208-E208)*G208*H208-I208,2))</f>
        <v/>
      </c>
      <c r="M208" s="10">
        <f>IF(OR(L208="",N(J208)&lt;=0),"",L208/J208)</f>
        <v/>
      </c>
      <c r="N208" s="11">
        <f>IF(L208="","",IF(L208&gt;0,"Win",IF(L208&lt;0,"Loss","Flat")))</f>
        <v/>
      </c>
      <c r="O208" s="9">
        <f>IF(L208="","",SUM($L$2:L208))</f>
        <v/>
      </c>
      <c r="P208" s="9">
        <f>IF(L208="","",MAX(0,MAX($O$2:O208)))</f>
        <v/>
      </c>
      <c r="Q208" s="9">
        <f>IF(L208="","",P208-O208)</f>
        <v/>
      </c>
      <c r="S208">
        <f>IF(N208="Win",N(S207)+1,0)</f>
        <v/>
      </c>
      <c r="T208">
        <f>IF(N208="Loss",N(T207)+1,0)</f>
        <v/>
      </c>
    </row>
    <row r="209">
      <c r="A209" s="5" t="n"/>
      <c r="B209" s="6" t="n"/>
      <c r="C209" s="6" t="n"/>
      <c r="D209" s="6" t="n"/>
      <c r="E209" s="7" t="n"/>
      <c r="F209" s="7" t="n"/>
      <c r="G209" s="6" t="n"/>
      <c r="H209" s="6" t="n"/>
      <c r="I209" s="7" t="n"/>
      <c r="J209" s="8" t="n"/>
      <c r="K209" s="6" t="n"/>
      <c r="L209" s="9">
        <f>IF(OR(E209="",F209=""),"",ROUND(IF(D209="Short",E209-F209,F209-E209)*G209*H209-I209,2))</f>
        <v/>
      </c>
      <c r="M209" s="10">
        <f>IF(OR(L209="",N(J209)&lt;=0),"",L209/J209)</f>
        <v/>
      </c>
      <c r="N209" s="11">
        <f>IF(L209="","",IF(L209&gt;0,"Win",IF(L209&lt;0,"Loss","Flat")))</f>
        <v/>
      </c>
      <c r="O209" s="9">
        <f>IF(L209="","",SUM($L$2:L209))</f>
        <v/>
      </c>
      <c r="P209" s="9">
        <f>IF(L209="","",MAX(0,MAX($O$2:O209)))</f>
        <v/>
      </c>
      <c r="Q209" s="9">
        <f>IF(L209="","",P209-O209)</f>
        <v/>
      </c>
      <c r="S209">
        <f>IF(N209="Win",N(S208)+1,0)</f>
        <v/>
      </c>
      <c r="T209">
        <f>IF(N209="Loss",N(T208)+1,0)</f>
        <v/>
      </c>
    </row>
    <row r="210">
      <c r="A210" s="5" t="n"/>
      <c r="B210" s="6" t="n"/>
      <c r="C210" s="6" t="n"/>
      <c r="D210" s="6" t="n"/>
      <c r="E210" s="7" t="n"/>
      <c r="F210" s="7" t="n"/>
      <c r="G210" s="6" t="n"/>
      <c r="H210" s="6" t="n"/>
      <c r="I210" s="7" t="n"/>
      <c r="J210" s="8" t="n"/>
      <c r="K210" s="6" t="n"/>
      <c r="L210" s="9">
        <f>IF(OR(E210="",F210=""),"",ROUND(IF(D210="Short",E210-F210,F210-E210)*G210*H210-I210,2))</f>
        <v/>
      </c>
      <c r="M210" s="10">
        <f>IF(OR(L210="",N(J210)&lt;=0),"",L210/J210)</f>
        <v/>
      </c>
      <c r="N210" s="11">
        <f>IF(L210="","",IF(L210&gt;0,"Win",IF(L210&lt;0,"Loss","Flat")))</f>
        <v/>
      </c>
      <c r="O210" s="9">
        <f>IF(L210="","",SUM($L$2:L210))</f>
        <v/>
      </c>
      <c r="P210" s="9">
        <f>IF(L210="","",MAX(0,MAX($O$2:O210)))</f>
        <v/>
      </c>
      <c r="Q210" s="9">
        <f>IF(L210="","",P210-O210)</f>
        <v/>
      </c>
      <c r="S210">
        <f>IF(N210="Win",N(S209)+1,0)</f>
        <v/>
      </c>
      <c r="T210">
        <f>IF(N210="Loss",N(T209)+1,0)</f>
        <v/>
      </c>
    </row>
    <row r="211">
      <c r="A211" s="5" t="n"/>
      <c r="B211" s="6" t="n"/>
      <c r="C211" s="6" t="n"/>
      <c r="D211" s="6" t="n"/>
      <c r="E211" s="7" t="n"/>
      <c r="F211" s="7" t="n"/>
      <c r="G211" s="6" t="n"/>
      <c r="H211" s="6" t="n"/>
      <c r="I211" s="7" t="n"/>
      <c r="J211" s="8" t="n"/>
      <c r="K211" s="6" t="n"/>
      <c r="L211" s="9">
        <f>IF(OR(E211="",F211=""),"",ROUND(IF(D211="Short",E211-F211,F211-E211)*G211*H211-I211,2))</f>
        <v/>
      </c>
      <c r="M211" s="10">
        <f>IF(OR(L211="",N(J211)&lt;=0),"",L211/J211)</f>
        <v/>
      </c>
      <c r="N211" s="11">
        <f>IF(L211="","",IF(L211&gt;0,"Win",IF(L211&lt;0,"Loss","Flat")))</f>
        <v/>
      </c>
      <c r="O211" s="9">
        <f>IF(L211="","",SUM($L$2:L211))</f>
        <v/>
      </c>
      <c r="P211" s="9">
        <f>IF(L211="","",MAX(0,MAX($O$2:O211)))</f>
        <v/>
      </c>
      <c r="Q211" s="9">
        <f>IF(L211="","",P211-O211)</f>
        <v/>
      </c>
      <c r="S211">
        <f>IF(N211="Win",N(S210)+1,0)</f>
        <v/>
      </c>
      <c r="T211">
        <f>IF(N211="Loss",N(T210)+1,0)</f>
        <v/>
      </c>
    </row>
    <row r="212">
      <c r="A212" s="5" t="n"/>
      <c r="B212" s="6" t="n"/>
      <c r="C212" s="6" t="n"/>
      <c r="D212" s="6" t="n"/>
      <c r="E212" s="7" t="n"/>
      <c r="F212" s="7" t="n"/>
      <c r="G212" s="6" t="n"/>
      <c r="H212" s="6" t="n"/>
      <c r="I212" s="7" t="n"/>
      <c r="J212" s="8" t="n"/>
      <c r="K212" s="6" t="n"/>
      <c r="L212" s="9">
        <f>IF(OR(E212="",F212=""),"",ROUND(IF(D212="Short",E212-F212,F212-E212)*G212*H212-I212,2))</f>
        <v/>
      </c>
      <c r="M212" s="10">
        <f>IF(OR(L212="",N(J212)&lt;=0),"",L212/J212)</f>
        <v/>
      </c>
      <c r="N212" s="11">
        <f>IF(L212="","",IF(L212&gt;0,"Win",IF(L212&lt;0,"Loss","Flat")))</f>
        <v/>
      </c>
      <c r="O212" s="9">
        <f>IF(L212="","",SUM($L$2:L212))</f>
        <v/>
      </c>
      <c r="P212" s="9">
        <f>IF(L212="","",MAX(0,MAX($O$2:O212)))</f>
        <v/>
      </c>
      <c r="Q212" s="9">
        <f>IF(L212="","",P212-O212)</f>
        <v/>
      </c>
      <c r="S212">
        <f>IF(N212="Win",N(S211)+1,0)</f>
        <v/>
      </c>
      <c r="T212">
        <f>IF(N212="Loss",N(T211)+1,0)</f>
        <v/>
      </c>
    </row>
    <row r="213">
      <c r="A213" s="5" t="n"/>
      <c r="B213" s="6" t="n"/>
      <c r="C213" s="6" t="n"/>
      <c r="D213" s="6" t="n"/>
      <c r="E213" s="7" t="n"/>
      <c r="F213" s="7" t="n"/>
      <c r="G213" s="6" t="n"/>
      <c r="H213" s="6" t="n"/>
      <c r="I213" s="7" t="n"/>
      <c r="J213" s="8" t="n"/>
      <c r="K213" s="6" t="n"/>
      <c r="L213" s="9">
        <f>IF(OR(E213="",F213=""),"",ROUND(IF(D213="Short",E213-F213,F213-E213)*G213*H213-I213,2))</f>
        <v/>
      </c>
      <c r="M213" s="10">
        <f>IF(OR(L213="",N(J213)&lt;=0),"",L213/J213)</f>
        <v/>
      </c>
      <c r="N213" s="11">
        <f>IF(L213="","",IF(L213&gt;0,"Win",IF(L213&lt;0,"Loss","Flat")))</f>
        <v/>
      </c>
      <c r="O213" s="9">
        <f>IF(L213="","",SUM($L$2:L213))</f>
        <v/>
      </c>
      <c r="P213" s="9">
        <f>IF(L213="","",MAX(0,MAX($O$2:O213)))</f>
        <v/>
      </c>
      <c r="Q213" s="9">
        <f>IF(L213="","",P213-O213)</f>
        <v/>
      </c>
      <c r="S213">
        <f>IF(N213="Win",N(S212)+1,0)</f>
        <v/>
      </c>
      <c r="T213">
        <f>IF(N213="Loss",N(T212)+1,0)</f>
        <v/>
      </c>
    </row>
    <row r="214">
      <c r="A214" s="5" t="n"/>
      <c r="B214" s="6" t="n"/>
      <c r="C214" s="6" t="n"/>
      <c r="D214" s="6" t="n"/>
      <c r="E214" s="7" t="n"/>
      <c r="F214" s="7" t="n"/>
      <c r="G214" s="6" t="n"/>
      <c r="H214" s="6" t="n"/>
      <c r="I214" s="7" t="n"/>
      <c r="J214" s="8" t="n"/>
      <c r="K214" s="6" t="n"/>
      <c r="L214" s="9">
        <f>IF(OR(E214="",F214=""),"",ROUND(IF(D214="Short",E214-F214,F214-E214)*G214*H214-I214,2))</f>
        <v/>
      </c>
      <c r="M214" s="10">
        <f>IF(OR(L214="",N(J214)&lt;=0),"",L214/J214)</f>
        <v/>
      </c>
      <c r="N214" s="11">
        <f>IF(L214="","",IF(L214&gt;0,"Win",IF(L214&lt;0,"Loss","Flat")))</f>
        <v/>
      </c>
      <c r="O214" s="9">
        <f>IF(L214="","",SUM($L$2:L214))</f>
        <v/>
      </c>
      <c r="P214" s="9">
        <f>IF(L214="","",MAX(0,MAX($O$2:O214)))</f>
        <v/>
      </c>
      <c r="Q214" s="9">
        <f>IF(L214="","",P214-O214)</f>
        <v/>
      </c>
      <c r="S214">
        <f>IF(N214="Win",N(S213)+1,0)</f>
        <v/>
      </c>
      <c r="T214">
        <f>IF(N214="Loss",N(T213)+1,0)</f>
        <v/>
      </c>
    </row>
    <row r="215">
      <c r="A215" s="5" t="n"/>
      <c r="B215" s="6" t="n"/>
      <c r="C215" s="6" t="n"/>
      <c r="D215" s="6" t="n"/>
      <c r="E215" s="7" t="n"/>
      <c r="F215" s="7" t="n"/>
      <c r="G215" s="6" t="n"/>
      <c r="H215" s="6" t="n"/>
      <c r="I215" s="7" t="n"/>
      <c r="J215" s="8" t="n"/>
      <c r="K215" s="6" t="n"/>
      <c r="L215" s="9">
        <f>IF(OR(E215="",F215=""),"",ROUND(IF(D215="Short",E215-F215,F215-E215)*G215*H215-I215,2))</f>
        <v/>
      </c>
      <c r="M215" s="10">
        <f>IF(OR(L215="",N(J215)&lt;=0),"",L215/J215)</f>
        <v/>
      </c>
      <c r="N215" s="11">
        <f>IF(L215="","",IF(L215&gt;0,"Win",IF(L215&lt;0,"Loss","Flat")))</f>
        <v/>
      </c>
      <c r="O215" s="9">
        <f>IF(L215="","",SUM($L$2:L215))</f>
        <v/>
      </c>
      <c r="P215" s="9">
        <f>IF(L215="","",MAX(0,MAX($O$2:O215)))</f>
        <v/>
      </c>
      <c r="Q215" s="9">
        <f>IF(L215="","",P215-O215)</f>
        <v/>
      </c>
      <c r="S215">
        <f>IF(N215="Win",N(S214)+1,0)</f>
        <v/>
      </c>
      <c r="T215">
        <f>IF(N215="Loss",N(T214)+1,0)</f>
        <v/>
      </c>
    </row>
    <row r="216">
      <c r="A216" s="5" t="n"/>
      <c r="B216" s="6" t="n"/>
      <c r="C216" s="6" t="n"/>
      <c r="D216" s="6" t="n"/>
      <c r="E216" s="7" t="n"/>
      <c r="F216" s="7" t="n"/>
      <c r="G216" s="6" t="n"/>
      <c r="H216" s="6" t="n"/>
      <c r="I216" s="7" t="n"/>
      <c r="J216" s="8" t="n"/>
      <c r="K216" s="6" t="n"/>
      <c r="L216" s="9">
        <f>IF(OR(E216="",F216=""),"",ROUND(IF(D216="Short",E216-F216,F216-E216)*G216*H216-I216,2))</f>
        <v/>
      </c>
      <c r="M216" s="10">
        <f>IF(OR(L216="",N(J216)&lt;=0),"",L216/J216)</f>
        <v/>
      </c>
      <c r="N216" s="11">
        <f>IF(L216="","",IF(L216&gt;0,"Win",IF(L216&lt;0,"Loss","Flat")))</f>
        <v/>
      </c>
      <c r="O216" s="9">
        <f>IF(L216="","",SUM($L$2:L216))</f>
        <v/>
      </c>
      <c r="P216" s="9">
        <f>IF(L216="","",MAX(0,MAX($O$2:O216)))</f>
        <v/>
      </c>
      <c r="Q216" s="9">
        <f>IF(L216="","",P216-O216)</f>
        <v/>
      </c>
      <c r="S216">
        <f>IF(N216="Win",N(S215)+1,0)</f>
        <v/>
      </c>
      <c r="T216">
        <f>IF(N216="Loss",N(T215)+1,0)</f>
        <v/>
      </c>
    </row>
    <row r="217">
      <c r="A217" s="5" t="n"/>
      <c r="B217" s="6" t="n"/>
      <c r="C217" s="6" t="n"/>
      <c r="D217" s="6" t="n"/>
      <c r="E217" s="7" t="n"/>
      <c r="F217" s="7" t="n"/>
      <c r="G217" s="6" t="n"/>
      <c r="H217" s="6" t="n"/>
      <c r="I217" s="7" t="n"/>
      <c r="J217" s="8" t="n"/>
      <c r="K217" s="6" t="n"/>
      <c r="L217" s="9">
        <f>IF(OR(E217="",F217=""),"",ROUND(IF(D217="Short",E217-F217,F217-E217)*G217*H217-I217,2))</f>
        <v/>
      </c>
      <c r="M217" s="10">
        <f>IF(OR(L217="",N(J217)&lt;=0),"",L217/J217)</f>
        <v/>
      </c>
      <c r="N217" s="11">
        <f>IF(L217="","",IF(L217&gt;0,"Win",IF(L217&lt;0,"Loss","Flat")))</f>
        <v/>
      </c>
      <c r="O217" s="9">
        <f>IF(L217="","",SUM($L$2:L217))</f>
        <v/>
      </c>
      <c r="P217" s="9">
        <f>IF(L217="","",MAX(0,MAX($O$2:O217)))</f>
        <v/>
      </c>
      <c r="Q217" s="9">
        <f>IF(L217="","",P217-O217)</f>
        <v/>
      </c>
      <c r="S217">
        <f>IF(N217="Win",N(S216)+1,0)</f>
        <v/>
      </c>
      <c r="T217">
        <f>IF(N217="Loss",N(T216)+1,0)</f>
        <v/>
      </c>
    </row>
    <row r="218">
      <c r="A218" s="5" t="n"/>
      <c r="B218" s="6" t="n"/>
      <c r="C218" s="6" t="n"/>
      <c r="D218" s="6" t="n"/>
      <c r="E218" s="7" t="n"/>
      <c r="F218" s="7" t="n"/>
      <c r="G218" s="6" t="n"/>
      <c r="H218" s="6" t="n"/>
      <c r="I218" s="7" t="n"/>
      <c r="J218" s="8" t="n"/>
      <c r="K218" s="6" t="n"/>
      <c r="L218" s="9">
        <f>IF(OR(E218="",F218=""),"",ROUND(IF(D218="Short",E218-F218,F218-E218)*G218*H218-I218,2))</f>
        <v/>
      </c>
      <c r="M218" s="10">
        <f>IF(OR(L218="",N(J218)&lt;=0),"",L218/J218)</f>
        <v/>
      </c>
      <c r="N218" s="11">
        <f>IF(L218="","",IF(L218&gt;0,"Win",IF(L218&lt;0,"Loss","Flat")))</f>
        <v/>
      </c>
      <c r="O218" s="9">
        <f>IF(L218="","",SUM($L$2:L218))</f>
        <v/>
      </c>
      <c r="P218" s="9">
        <f>IF(L218="","",MAX(0,MAX($O$2:O218)))</f>
        <v/>
      </c>
      <c r="Q218" s="9">
        <f>IF(L218="","",P218-O218)</f>
        <v/>
      </c>
      <c r="S218">
        <f>IF(N218="Win",N(S217)+1,0)</f>
        <v/>
      </c>
      <c r="T218">
        <f>IF(N218="Loss",N(T217)+1,0)</f>
        <v/>
      </c>
    </row>
    <row r="219">
      <c r="A219" s="5" t="n"/>
      <c r="B219" s="6" t="n"/>
      <c r="C219" s="6" t="n"/>
      <c r="D219" s="6" t="n"/>
      <c r="E219" s="7" t="n"/>
      <c r="F219" s="7" t="n"/>
      <c r="G219" s="6" t="n"/>
      <c r="H219" s="6" t="n"/>
      <c r="I219" s="7" t="n"/>
      <c r="J219" s="8" t="n"/>
      <c r="K219" s="6" t="n"/>
      <c r="L219" s="9">
        <f>IF(OR(E219="",F219=""),"",ROUND(IF(D219="Short",E219-F219,F219-E219)*G219*H219-I219,2))</f>
        <v/>
      </c>
      <c r="M219" s="10">
        <f>IF(OR(L219="",N(J219)&lt;=0),"",L219/J219)</f>
        <v/>
      </c>
      <c r="N219" s="11">
        <f>IF(L219="","",IF(L219&gt;0,"Win",IF(L219&lt;0,"Loss","Flat")))</f>
        <v/>
      </c>
      <c r="O219" s="9">
        <f>IF(L219="","",SUM($L$2:L219))</f>
        <v/>
      </c>
      <c r="P219" s="9">
        <f>IF(L219="","",MAX(0,MAX($O$2:O219)))</f>
        <v/>
      </c>
      <c r="Q219" s="9">
        <f>IF(L219="","",P219-O219)</f>
        <v/>
      </c>
      <c r="S219">
        <f>IF(N219="Win",N(S218)+1,0)</f>
        <v/>
      </c>
      <c r="T219">
        <f>IF(N219="Loss",N(T218)+1,0)</f>
        <v/>
      </c>
    </row>
    <row r="220">
      <c r="A220" s="5" t="n"/>
      <c r="B220" s="6" t="n"/>
      <c r="C220" s="6" t="n"/>
      <c r="D220" s="6" t="n"/>
      <c r="E220" s="7" t="n"/>
      <c r="F220" s="7" t="n"/>
      <c r="G220" s="6" t="n"/>
      <c r="H220" s="6" t="n"/>
      <c r="I220" s="7" t="n"/>
      <c r="J220" s="8" t="n"/>
      <c r="K220" s="6" t="n"/>
      <c r="L220" s="9">
        <f>IF(OR(E220="",F220=""),"",ROUND(IF(D220="Short",E220-F220,F220-E220)*G220*H220-I220,2))</f>
        <v/>
      </c>
      <c r="M220" s="10">
        <f>IF(OR(L220="",N(J220)&lt;=0),"",L220/J220)</f>
        <v/>
      </c>
      <c r="N220" s="11">
        <f>IF(L220="","",IF(L220&gt;0,"Win",IF(L220&lt;0,"Loss","Flat")))</f>
        <v/>
      </c>
      <c r="O220" s="9">
        <f>IF(L220="","",SUM($L$2:L220))</f>
        <v/>
      </c>
      <c r="P220" s="9">
        <f>IF(L220="","",MAX(0,MAX($O$2:O220)))</f>
        <v/>
      </c>
      <c r="Q220" s="9">
        <f>IF(L220="","",P220-O220)</f>
        <v/>
      </c>
      <c r="S220">
        <f>IF(N220="Win",N(S219)+1,0)</f>
        <v/>
      </c>
      <c r="T220">
        <f>IF(N220="Loss",N(T219)+1,0)</f>
        <v/>
      </c>
    </row>
    <row r="221">
      <c r="A221" s="5" t="n"/>
      <c r="B221" s="6" t="n"/>
      <c r="C221" s="6" t="n"/>
      <c r="D221" s="6" t="n"/>
      <c r="E221" s="7" t="n"/>
      <c r="F221" s="7" t="n"/>
      <c r="G221" s="6" t="n"/>
      <c r="H221" s="6" t="n"/>
      <c r="I221" s="7" t="n"/>
      <c r="J221" s="8" t="n"/>
      <c r="K221" s="6" t="n"/>
      <c r="L221" s="9">
        <f>IF(OR(E221="",F221=""),"",ROUND(IF(D221="Short",E221-F221,F221-E221)*G221*H221-I221,2))</f>
        <v/>
      </c>
      <c r="M221" s="10">
        <f>IF(OR(L221="",N(J221)&lt;=0),"",L221/J221)</f>
        <v/>
      </c>
      <c r="N221" s="11">
        <f>IF(L221="","",IF(L221&gt;0,"Win",IF(L221&lt;0,"Loss","Flat")))</f>
        <v/>
      </c>
      <c r="O221" s="9">
        <f>IF(L221="","",SUM($L$2:L221))</f>
        <v/>
      </c>
      <c r="P221" s="9">
        <f>IF(L221="","",MAX(0,MAX($O$2:O221)))</f>
        <v/>
      </c>
      <c r="Q221" s="9">
        <f>IF(L221="","",P221-O221)</f>
        <v/>
      </c>
      <c r="S221">
        <f>IF(N221="Win",N(S220)+1,0)</f>
        <v/>
      </c>
      <c r="T221">
        <f>IF(N221="Loss",N(T220)+1,0)</f>
        <v/>
      </c>
    </row>
    <row r="222">
      <c r="A222" s="5" t="n"/>
      <c r="B222" s="6" t="n"/>
      <c r="C222" s="6" t="n"/>
      <c r="D222" s="6" t="n"/>
      <c r="E222" s="7" t="n"/>
      <c r="F222" s="7" t="n"/>
      <c r="G222" s="6" t="n"/>
      <c r="H222" s="6" t="n"/>
      <c r="I222" s="7" t="n"/>
      <c r="J222" s="8" t="n"/>
      <c r="K222" s="6" t="n"/>
      <c r="L222" s="9">
        <f>IF(OR(E222="",F222=""),"",ROUND(IF(D222="Short",E222-F222,F222-E222)*G222*H222-I222,2))</f>
        <v/>
      </c>
      <c r="M222" s="10">
        <f>IF(OR(L222="",N(J222)&lt;=0),"",L222/J222)</f>
        <v/>
      </c>
      <c r="N222" s="11">
        <f>IF(L222="","",IF(L222&gt;0,"Win",IF(L222&lt;0,"Loss","Flat")))</f>
        <v/>
      </c>
      <c r="O222" s="9">
        <f>IF(L222="","",SUM($L$2:L222))</f>
        <v/>
      </c>
      <c r="P222" s="9">
        <f>IF(L222="","",MAX(0,MAX($O$2:O222)))</f>
        <v/>
      </c>
      <c r="Q222" s="9">
        <f>IF(L222="","",P222-O222)</f>
        <v/>
      </c>
      <c r="S222">
        <f>IF(N222="Win",N(S221)+1,0)</f>
        <v/>
      </c>
      <c r="T222">
        <f>IF(N222="Loss",N(T221)+1,0)</f>
        <v/>
      </c>
    </row>
    <row r="223">
      <c r="A223" s="5" t="n"/>
      <c r="B223" s="6" t="n"/>
      <c r="C223" s="6" t="n"/>
      <c r="D223" s="6" t="n"/>
      <c r="E223" s="7" t="n"/>
      <c r="F223" s="7" t="n"/>
      <c r="G223" s="6" t="n"/>
      <c r="H223" s="6" t="n"/>
      <c r="I223" s="7" t="n"/>
      <c r="J223" s="8" t="n"/>
      <c r="K223" s="6" t="n"/>
      <c r="L223" s="9">
        <f>IF(OR(E223="",F223=""),"",ROUND(IF(D223="Short",E223-F223,F223-E223)*G223*H223-I223,2))</f>
        <v/>
      </c>
      <c r="M223" s="10">
        <f>IF(OR(L223="",N(J223)&lt;=0),"",L223/J223)</f>
        <v/>
      </c>
      <c r="N223" s="11">
        <f>IF(L223="","",IF(L223&gt;0,"Win",IF(L223&lt;0,"Loss","Flat")))</f>
        <v/>
      </c>
      <c r="O223" s="9">
        <f>IF(L223="","",SUM($L$2:L223))</f>
        <v/>
      </c>
      <c r="P223" s="9">
        <f>IF(L223="","",MAX(0,MAX($O$2:O223)))</f>
        <v/>
      </c>
      <c r="Q223" s="9">
        <f>IF(L223="","",P223-O223)</f>
        <v/>
      </c>
      <c r="S223">
        <f>IF(N223="Win",N(S222)+1,0)</f>
        <v/>
      </c>
      <c r="T223">
        <f>IF(N223="Loss",N(T222)+1,0)</f>
        <v/>
      </c>
    </row>
    <row r="224">
      <c r="A224" s="5" t="n"/>
      <c r="B224" s="6" t="n"/>
      <c r="C224" s="6" t="n"/>
      <c r="D224" s="6" t="n"/>
      <c r="E224" s="7" t="n"/>
      <c r="F224" s="7" t="n"/>
      <c r="G224" s="6" t="n"/>
      <c r="H224" s="6" t="n"/>
      <c r="I224" s="7" t="n"/>
      <c r="J224" s="8" t="n"/>
      <c r="K224" s="6" t="n"/>
      <c r="L224" s="9">
        <f>IF(OR(E224="",F224=""),"",ROUND(IF(D224="Short",E224-F224,F224-E224)*G224*H224-I224,2))</f>
        <v/>
      </c>
      <c r="M224" s="10">
        <f>IF(OR(L224="",N(J224)&lt;=0),"",L224/J224)</f>
        <v/>
      </c>
      <c r="N224" s="11">
        <f>IF(L224="","",IF(L224&gt;0,"Win",IF(L224&lt;0,"Loss","Flat")))</f>
        <v/>
      </c>
      <c r="O224" s="9">
        <f>IF(L224="","",SUM($L$2:L224))</f>
        <v/>
      </c>
      <c r="P224" s="9">
        <f>IF(L224="","",MAX(0,MAX($O$2:O224)))</f>
        <v/>
      </c>
      <c r="Q224" s="9">
        <f>IF(L224="","",P224-O224)</f>
        <v/>
      </c>
      <c r="S224">
        <f>IF(N224="Win",N(S223)+1,0)</f>
        <v/>
      </c>
      <c r="T224">
        <f>IF(N224="Loss",N(T223)+1,0)</f>
        <v/>
      </c>
    </row>
    <row r="225">
      <c r="A225" s="5" t="n"/>
      <c r="B225" s="6" t="n"/>
      <c r="C225" s="6" t="n"/>
      <c r="D225" s="6" t="n"/>
      <c r="E225" s="7" t="n"/>
      <c r="F225" s="7" t="n"/>
      <c r="G225" s="6" t="n"/>
      <c r="H225" s="6" t="n"/>
      <c r="I225" s="7" t="n"/>
      <c r="J225" s="8" t="n"/>
      <c r="K225" s="6" t="n"/>
      <c r="L225" s="9">
        <f>IF(OR(E225="",F225=""),"",ROUND(IF(D225="Short",E225-F225,F225-E225)*G225*H225-I225,2))</f>
        <v/>
      </c>
      <c r="M225" s="10">
        <f>IF(OR(L225="",N(J225)&lt;=0),"",L225/J225)</f>
        <v/>
      </c>
      <c r="N225" s="11">
        <f>IF(L225="","",IF(L225&gt;0,"Win",IF(L225&lt;0,"Loss","Flat")))</f>
        <v/>
      </c>
      <c r="O225" s="9">
        <f>IF(L225="","",SUM($L$2:L225))</f>
        <v/>
      </c>
      <c r="P225" s="9">
        <f>IF(L225="","",MAX(0,MAX($O$2:O225)))</f>
        <v/>
      </c>
      <c r="Q225" s="9">
        <f>IF(L225="","",P225-O225)</f>
        <v/>
      </c>
      <c r="S225">
        <f>IF(N225="Win",N(S224)+1,0)</f>
        <v/>
      </c>
      <c r="T225">
        <f>IF(N225="Loss",N(T224)+1,0)</f>
        <v/>
      </c>
    </row>
    <row r="226">
      <c r="A226" s="5" t="n"/>
      <c r="B226" s="6" t="n"/>
      <c r="C226" s="6" t="n"/>
      <c r="D226" s="6" t="n"/>
      <c r="E226" s="7" t="n"/>
      <c r="F226" s="7" t="n"/>
      <c r="G226" s="6" t="n"/>
      <c r="H226" s="6" t="n"/>
      <c r="I226" s="7" t="n"/>
      <c r="J226" s="8" t="n"/>
      <c r="K226" s="6" t="n"/>
      <c r="L226" s="9">
        <f>IF(OR(E226="",F226=""),"",ROUND(IF(D226="Short",E226-F226,F226-E226)*G226*H226-I226,2))</f>
        <v/>
      </c>
      <c r="M226" s="10">
        <f>IF(OR(L226="",N(J226)&lt;=0),"",L226/J226)</f>
        <v/>
      </c>
      <c r="N226" s="11">
        <f>IF(L226="","",IF(L226&gt;0,"Win",IF(L226&lt;0,"Loss","Flat")))</f>
        <v/>
      </c>
      <c r="O226" s="9">
        <f>IF(L226="","",SUM($L$2:L226))</f>
        <v/>
      </c>
      <c r="P226" s="9">
        <f>IF(L226="","",MAX(0,MAX($O$2:O226)))</f>
        <v/>
      </c>
      <c r="Q226" s="9">
        <f>IF(L226="","",P226-O226)</f>
        <v/>
      </c>
      <c r="S226">
        <f>IF(N226="Win",N(S225)+1,0)</f>
        <v/>
      </c>
      <c r="T226">
        <f>IF(N226="Loss",N(T225)+1,0)</f>
        <v/>
      </c>
    </row>
    <row r="227">
      <c r="A227" s="5" t="n"/>
      <c r="B227" s="6" t="n"/>
      <c r="C227" s="6" t="n"/>
      <c r="D227" s="6" t="n"/>
      <c r="E227" s="7" t="n"/>
      <c r="F227" s="7" t="n"/>
      <c r="G227" s="6" t="n"/>
      <c r="H227" s="6" t="n"/>
      <c r="I227" s="7" t="n"/>
      <c r="J227" s="8" t="n"/>
      <c r="K227" s="6" t="n"/>
      <c r="L227" s="9">
        <f>IF(OR(E227="",F227=""),"",ROUND(IF(D227="Short",E227-F227,F227-E227)*G227*H227-I227,2))</f>
        <v/>
      </c>
      <c r="M227" s="10">
        <f>IF(OR(L227="",N(J227)&lt;=0),"",L227/J227)</f>
        <v/>
      </c>
      <c r="N227" s="11">
        <f>IF(L227="","",IF(L227&gt;0,"Win",IF(L227&lt;0,"Loss","Flat")))</f>
        <v/>
      </c>
      <c r="O227" s="9">
        <f>IF(L227="","",SUM($L$2:L227))</f>
        <v/>
      </c>
      <c r="P227" s="9">
        <f>IF(L227="","",MAX(0,MAX($O$2:O227)))</f>
        <v/>
      </c>
      <c r="Q227" s="9">
        <f>IF(L227="","",P227-O227)</f>
        <v/>
      </c>
      <c r="S227">
        <f>IF(N227="Win",N(S226)+1,0)</f>
        <v/>
      </c>
      <c r="T227">
        <f>IF(N227="Loss",N(T226)+1,0)</f>
        <v/>
      </c>
    </row>
    <row r="228">
      <c r="A228" s="5" t="n"/>
      <c r="B228" s="6" t="n"/>
      <c r="C228" s="6" t="n"/>
      <c r="D228" s="6" t="n"/>
      <c r="E228" s="7" t="n"/>
      <c r="F228" s="7" t="n"/>
      <c r="G228" s="6" t="n"/>
      <c r="H228" s="6" t="n"/>
      <c r="I228" s="7" t="n"/>
      <c r="J228" s="8" t="n"/>
      <c r="K228" s="6" t="n"/>
      <c r="L228" s="9">
        <f>IF(OR(E228="",F228=""),"",ROUND(IF(D228="Short",E228-F228,F228-E228)*G228*H228-I228,2))</f>
        <v/>
      </c>
      <c r="M228" s="10">
        <f>IF(OR(L228="",N(J228)&lt;=0),"",L228/J228)</f>
        <v/>
      </c>
      <c r="N228" s="11">
        <f>IF(L228="","",IF(L228&gt;0,"Win",IF(L228&lt;0,"Loss","Flat")))</f>
        <v/>
      </c>
      <c r="O228" s="9">
        <f>IF(L228="","",SUM($L$2:L228))</f>
        <v/>
      </c>
      <c r="P228" s="9">
        <f>IF(L228="","",MAX(0,MAX($O$2:O228)))</f>
        <v/>
      </c>
      <c r="Q228" s="9">
        <f>IF(L228="","",P228-O228)</f>
        <v/>
      </c>
      <c r="S228">
        <f>IF(N228="Win",N(S227)+1,0)</f>
        <v/>
      </c>
      <c r="T228">
        <f>IF(N228="Loss",N(T227)+1,0)</f>
        <v/>
      </c>
    </row>
    <row r="229">
      <c r="A229" s="5" t="n"/>
      <c r="B229" s="6" t="n"/>
      <c r="C229" s="6" t="n"/>
      <c r="D229" s="6" t="n"/>
      <c r="E229" s="7" t="n"/>
      <c r="F229" s="7" t="n"/>
      <c r="G229" s="6" t="n"/>
      <c r="H229" s="6" t="n"/>
      <c r="I229" s="7" t="n"/>
      <c r="J229" s="8" t="n"/>
      <c r="K229" s="6" t="n"/>
      <c r="L229" s="9">
        <f>IF(OR(E229="",F229=""),"",ROUND(IF(D229="Short",E229-F229,F229-E229)*G229*H229-I229,2))</f>
        <v/>
      </c>
      <c r="M229" s="10">
        <f>IF(OR(L229="",N(J229)&lt;=0),"",L229/J229)</f>
        <v/>
      </c>
      <c r="N229" s="11">
        <f>IF(L229="","",IF(L229&gt;0,"Win",IF(L229&lt;0,"Loss","Flat")))</f>
        <v/>
      </c>
      <c r="O229" s="9">
        <f>IF(L229="","",SUM($L$2:L229))</f>
        <v/>
      </c>
      <c r="P229" s="9">
        <f>IF(L229="","",MAX(0,MAX($O$2:O229)))</f>
        <v/>
      </c>
      <c r="Q229" s="9">
        <f>IF(L229="","",P229-O229)</f>
        <v/>
      </c>
      <c r="S229">
        <f>IF(N229="Win",N(S228)+1,0)</f>
        <v/>
      </c>
      <c r="T229">
        <f>IF(N229="Loss",N(T228)+1,0)</f>
        <v/>
      </c>
    </row>
    <row r="230">
      <c r="A230" s="5" t="n"/>
      <c r="B230" s="6" t="n"/>
      <c r="C230" s="6" t="n"/>
      <c r="D230" s="6" t="n"/>
      <c r="E230" s="7" t="n"/>
      <c r="F230" s="7" t="n"/>
      <c r="G230" s="6" t="n"/>
      <c r="H230" s="6" t="n"/>
      <c r="I230" s="7" t="n"/>
      <c r="J230" s="8" t="n"/>
      <c r="K230" s="6" t="n"/>
      <c r="L230" s="9">
        <f>IF(OR(E230="",F230=""),"",ROUND(IF(D230="Short",E230-F230,F230-E230)*G230*H230-I230,2))</f>
        <v/>
      </c>
      <c r="M230" s="10">
        <f>IF(OR(L230="",N(J230)&lt;=0),"",L230/J230)</f>
        <v/>
      </c>
      <c r="N230" s="11">
        <f>IF(L230="","",IF(L230&gt;0,"Win",IF(L230&lt;0,"Loss","Flat")))</f>
        <v/>
      </c>
      <c r="O230" s="9">
        <f>IF(L230="","",SUM($L$2:L230))</f>
        <v/>
      </c>
      <c r="P230" s="9">
        <f>IF(L230="","",MAX(0,MAX($O$2:O230)))</f>
        <v/>
      </c>
      <c r="Q230" s="9">
        <f>IF(L230="","",P230-O230)</f>
        <v/>
      </c>
      <c r="S230">
        <f>IF(N230="Win",N(S229)+1,0)</f>
        <v/>
      </c>
      <c r="T230">
        <f>IF(N230="Loss",N(T229)+1,0)</f>
        <v/>
      </c>
    </row>
    <row r="231">
      <c r="A231" s="5" t="n"/>
      <c r="B231" s="6" t="n"/>
      <c r="C231" s="6" t="n"/>
      <c r="D231" s="6" t="n"/>
      <c r="E231" s="7" t="n"/>
      <c r="F231" s="7" t="n"/>
      <c r="G231" s="6" t="n"/>
      <c r="H231" s="6" t="n"/>
      <c r="I231" s="7" t="n"/>
      <c r="J231" s="8" t="n"/>
      <c r="K231" s="6" t="n"/>
      <c r="L231" s="9">
        <f>IF(OR(E231="",F231=""),"",ROUND(IF(D231="Short",E231-F231,F231-E231)*G231*H231-I231,2))</f>
        <v/>
      </c>
      <c r="M231" s="10">
        <f>IF(OR(L231="",N(J231)&lt;=0),"",L231/J231)</f>
        <v/>
      </c>
      <c r="N231" s="11">
        <f>IF(L231="","",IF(L231&gt;0,"Win",IF(L231&lt;0,"Loss","Flat")))</f>
        <v/>
      </c>
      <c r="O231" s="9">
        <f>IF(L231="","",SUM($L$2:L231))</f>
        <v/>
      </c>
      <c r="P231" s="9">
        <f>IF(L231="","",MAX(0,MAX($O$2:O231)))</f>
        <v/>
      </c>
      <c r="Q231" s="9">
        <f>IF(L231="","",P231-O231)</f>
        <v/>
      </c>
      <c r="S231">
        <f>IF(N231="Win",N(S230)+1,0)</f>
        <v/>
      </c>
      <c r="T231">
        <f>IF(N231="Loss",N(T230)+1,0)</f>
        <v/>
      </c>
    </row>
    <row r="232">
      <c r="A232" s="5" t="n"/>
      <c r="B232" s="6" t="n"/>
      <c r="C232" s="6" t="n"/>
      <c r="D232" s="6" t="n"/>
      <c r="E232" s="7" t="n"/>
      <c r="F232" s="7" t="n"/>
      <c r="G232" s="6" t="n"/>
      <c r="H232" s="6" t="n"/>
      <c r="I232" s="7" t="n"/>
      <c r="J232" s="8" t="n"/>
      <c r="K232" s="6" t="n"/>
      <c r="L232" s="9">
        <f>IF(OR(E232="",F232=""),"",ROUND(IF(D232="Short",E232-F232,F232-E232)*G232*H232-I232,2))</f>
        <v/>
      </c>
      <c r="M232" s="10">
        <f>IF(OR(L232="",N(J232)&lt;=0),"",L232/J232)</f>
        <v/>
      </c>
      <c r="N232" s="11">
        <f>IF(L232="","",IF(L232&gt;0,"Win",IF(L232&lt;0,"Loss","Flat")))</f>
        <v/>
      </c>
      <c r="O232" s="9">
        <f>IF(L232="","",SUM($L$2:L232))</f>
        <v/>
      </c>
      <c r="P232" s="9">
        <f>IF(L232="","",MAX(0,MAX($O$2:O232)))</f>
        <v/>
      </c>
      <c r="Q232" s="9">
        <f>IF(L232="","",P232-O232)</f>
        <v/>
      </c>
      <c r="S232">
        <f>IF(N232="Win",N(S231)+1,0)</f>
        <v/>
      </c>
      <c r="T232">
        <f>IF(N232="Loss",N(T231)+1,0)</f>
        <v/>
      </c>
    </row>
    <row r="233">
      <c r="A233" s="5" t="n"/>
      <c r="B233" s="6" t="n"/>
      <c r="C233" s="6" t="n"/>
      <c r="D233" s="6" t="n"/>
      <c r="E233" s="7" t="n"/>
      <c r="F233" s="7" t="n"/>
      <c r="G233" s="6" t="n"/>
      <c r="H233" s="6" t="n"/>
      <c r="I233" s="7" t="n"/>
      <c r="J233" s="8" t="n"/>
      <c r="K233" s="6" t="n"/>
      <c r="L233" s="9">
        <f>IF(OR(E233="",F233=""),"",ROUND(IF(D233="Short",E233-F233,F233-E233)*G233*H233-I233,2))</f>
        <v/>
      </c>
      <c r="M233" s="10">
        <f>IF(OR(L233="",N(J233)&lt;=0),"",L233/J233)</f>
        <v/>
      </c>
      <c r="N233" s="11">
        <f>IF(L233="","",IF(L233&gt;0,"Win",IF(L233&lt;0,"Loss","Flat")))</f>
        <v/>
      </c>
      <c r="O233" s="9">
        <f>IF(L233="","",SUM($L$2:L233))</f>
        <v/>
      </c>
      <c r="P233" s="9">
        <f>IF(L233="","",MAX(0,MAX($O$2:O233)))</f>
        <v/>
      </c>
      <c r="Q233" s="9">
        <f>IF(L233="","",P233-O233)</f>
        <v/>
      </c>
      <c r="S233">
        <f>IF(N233="Win",N(S232)+1,0)</f>
        <v/>
      </c>
      <c r="T233">
        <f>IF(N233="Loss",N(T232)+1,0)</f>
        <v/>
      </c>
    </row>
    <row r="234">
      <c r="A234" s="5" t="n"/>
      <c r="B234" s="6" t="n"/>
      <c r="C234" s="6" t="n"/>
      <c r="D234" s="6" t="n"/>
      <c r="E234" s="7" t="n"/>
      <c r="F234" s="7" t="n"/>
      <c r="G234" s="6" t="n"/>
      <c r="H234" s="6" t="n"/>
      <c r="I234" s="7" t="n"/>
      <c r="J234" s="8" t="n"/>
      <c r="K234" s="6" t="n"/>
      <c r="L234" s="9">
        <f>IF(OR(E234="",F234=""),"",ROUND(IF(D234="Short",E234-F234,F234-E234)*G234*H234-I234,2))</f>
        <v/>
      </c>
      <c r="M234" s="10">
        <f>IF(OR(L234="",N(J234)&lt;=0),"",L234/J234)</f>
        <v/>
      </c>
      <c r="N234" s="11">
        <f>IF(L234="","",IF(L234&gt;0,"Win",IF(L234&lt;0,"Loss","Flat")))</f>
        <v/>
      </c>
      <c r="O234" s="9">
        <f>IF(L234="","",SUM($L$2:L234))</f>
        <v/>
      </c>
      <c r="P234" s="9">
        <f>IF(L234="","",MAX(0,MAX($O$2:O234)))</f>
        <v/>
      </c>
      <c r="Q234" s="9">
        <f>IF(L234="","",P234-O234)</f>
        <v/>
      </c>
      <c r="S234">
        <f>IF(N234="Win",N(S233)+1,0)</f>
        <v/>
      </c>
      <c r="T234">
        <f>IF(N234="Loss",N(T233)+1,0)</f>
        <v/>
      </c>
    </row>
    <row r="235">
      <c r="A235" s="5" t="n"/>
      <c r="B235" s="6" t="n"/>
      <c r="C235" s="6" t="n"/>
      <c r="D235" s="6" t="n"/>
      <c r="E235" s="7" t="n"/>
      <c r="F235" s="7" t="n"/>
      <c r="G235" s="6" t="n"/>
      <c r="H235" s="6" t="n"/>
      <c r="I235" s="7" t="n"/>
      <c r="J235" s="8" t="n"/>
      <c r="K235" s="6" t="n"/>
      <c r="L235" s="9">
        <f>IF(OR(E235="",F235=""),"",ROUND(IF(D235="Short",E235-F235,F235-E235)*G235*H235-I235,2))</f>
        <v/>
      </c>
      <c r="M235" s="10">
        <f>IF(OR(L235="",N(J235)&lt;=0),"",L235/J235)</f>
        <v/>
      </c>
      <c r="N235" s="11">
        <f>IF(L235="","",IF(L235&gt;0,"Win",IF(L235&lt;0,"Loss","Flat")))</f>
        <v/>
      </c>
      <c r="O235" s="9">
        <f>IF(L235="","",SUM($L$2:L235))</f>
        <v/>
      </c>
      <c r="P235" s="9">
        <f>IF(L235="","",MAX(0,MAX($O$2:O235)))</f>
        <v/>
      </c>
      <c r="Q235" s="9">
        <f>IF(L235="","",P235-O235)</f>
        <v/>
      </c>
      <c r="S235">
        <f>IF(N235="Win",N(S234)+1,0)</f>
        <v/>
      </c>
      <c r="T235">
        <f>IF(N235="Loss",N(T234)+1,0)</f>
        <v/>
      </c>
    </row>
    <row r="236">
      <c r="A236" s="5" t="n"/>
      <c r="B236" s="6" t="n"/>
      <c r="C236" s="6" t="n"/>
      <c r="D236" s="6" t="n"/>
      <c r="E236" s="7" t="n"/>
      <c r="F236" s="7" t="n"/>
      <c r="G236" s="6" t="n"/>
      <c r="H236" s="6" t="n"/>
      <c r="I236" s="7" t="n"/>
      <c r="J236" s="8" t="n"/>
      <c r="K236" s="6" t="n"/>
      <c r="L236" s="9">
        <f>IF(OR(E236="",F236=""),"",ROUND(IF(D236="Short",E236-F236,F236-E236)*G236*H236-I236,2))</f>
        <v/>
      </c>
      <c r="M236" s="10">
        <f>IF(OR(L236="",N(J236)&lt;=0),"",L236/J236)</f>
        <v/>
      </c>
      <c r="N236" s="11">
        <f>IF(L236="","",IF(L236&gt;0,"Win",IF(L236&lt;0,"Loss","Flat")))</f>
        <v/>
      </c>
      <c r="O236" s="9">
        <f>IF(L236="","",SUM($L$2:L236))</f>
        <v/>
      </c>
      <c r="P236" s="9">
        <f>IF(L236="","",MAX(0,MAX($O$2:O236)))</f>
        <v/>
      </c>
      <c r="Q236" s="9">
        <f>IF(L236="","",P236-O236)</f>
        <v/>
      </c>
      <c r="S236">
        <f>IF(N236="Win",N(S235)+1,0)</f>
        <v/>
      </c>
      <c r="T236">
        <f>IF(N236="Loss",N(T235)+1,0)</f>
        <v/>
      </c>
    </row>
    <row r="237">
      <c r="A237" s="5" t="n"/>
      <c r="B237" s="6" t="n"/>
      <c r="C237" s="6" t="n"/>
      <c r="D237" s="6" t="n"/>
      <c r="E237" s="7" t="n"/>
      <c r="F237" s="7" t="n"/>
      <c r="G237" s="6" t="n"/>
      <c r="H237" s="6" t="n"/>
      <c r="I237" s="7" t="n"/>
      <c r="J237" s="8" t="n"/>
      <c r="K237" s="6" t="n"/>
      <c r="L237" s="9">
        <f>IF(OR(E237="",F237=""),"",ROUND(IF(D237="Short",E237-F237,F237-E237)*G237*H237-I237,2))</f>
        <v/>
      </c>
      <c r="M237" s="10">
        <f>IF(OR(L237="",N(J237)&lt;=0),"",L237/J237)</f>
        <v/>
      </c>
      <c r="N237" s="11">
        <f>IF(L237="","",IF(L237&gt;0,"Win",IF(L237&lt;0,"Loss","Flat")))</f>
        <v/>
      </c>
      <c r="O237" s="9">
        <f>IF(L237="","",SUM($L$2:L237))</f>
        <v/>
      </c>
      <c r="P237" s="9">
        <f>IF(L237="","",MAX(0,MAX($O$2:O237)))</f>
        <v/>
      </c>
      <c r="Q237" s="9">
        <f>IF(L237="","",P237-O237)</f>
        <v/>
      </c>
      <c r="S237">
        <f>IF(N237="Win",N(S236)+1,0)</f>
        <v/>
      </c>
      <c r="T237">
        <f>IF(N237="Loss",N(T236)+1,0)</f>
        <v/>
      </c>
    </row>
    <row r="238">
      <c r="A238" s="5" t="n"/>
      <c r="B238" s="6" t="n"/>
      <c r="C238" s="6" t="n"/>
      <c r="D238" s="6" t="n"/>
      <c r="E238" s="7" t="n"/>
      <c r="F238" s="7" t="n"/>
      <c r="G238" s="6" t="n"/>
      <c r="H238" s="6" t="n"/>
      <c r="I238" s="7" t="n"/>
      <c r="J238" s="8" t="n"/>
      <c r="K238" s="6" t="n"/>
      <c r="L238" s="9">
        <f>IF(OR(E238="",F238=""),"",ROUND(IF(D238="Short",E238-F238,F238-E238)*G238*H238-I238,2))</f>
        <v/>
      </c>
      <c r="M238" s="10">
        <f>IF(OR(L238="",N(J238)&lt;=0),"",L238/J238)</f>
        <v/>
      </c>
      <c r="N238" s="11">
        <f>IF(L238="","",IF(L238&gt;0,"Win",IF(L238&lt;0,"Loss","Flat")))</f>
        <v/>
      </c>
      <c r="O238" s="9">
        <f>IF(L238="","",SUM($L$2:L238))</f>
        <v/>
      </c>
      <c r="P238" s="9">
        <f>IF(L238="","",MAX(0,MAX($O$2:O238)))</f>
        <v/>
      </c>
      <c r="Q238" s="9">
        <f>IF(L238="","",P238-O238)</f>
        <v/>
      </c>
      <c r="S238">
        <f>IF(N238="Win",N(S237)+1,0)</f>
        <v/>
      </c>
      <c r="T238">
        <f>IF(N238="Loss",N(T237)+1,0)</f>
        <v/>
      </c>
    </row>
    <row r="239">
      <c r="A239" s="5" t="n"/>
      <c r="B239" s="6" t="n"/>
      <c r="C239" s="6" t="n"/>
      <c r="D239" s="6" t="n"/>
      <c r="E239" s="7" t="n"/>
      <c r="F239" s="7" t="n"/>
      <c r="G239" s="6" t="n"/>
      <c r="H239" s="6" t="n"/>
      <c r="I239" s="7" t="n"/>
      <c r="J239" s="8" t="n"/>
      <c r="K239" s="6" t="n"/>
      <c r="L239" s="9">
        <f>IF(OR(E239="",F239=""),"",ROUND(IF(D239="Short",E239-F239,F239-E239)*G239*H239-I239,2))</f>
        <v/>
      </c>
      <c r="M239" s="10">
        <f>IF(OR(L239="",N(J239)&lt;=0),"",L239/J239)</f>
        <v/>
      </c>
      <c r="N239" s="11">
        <f>IF(L239="","",IF(L239&gt;0,"Win",IF(L239&lt;0,"Loss","Flat")))</f>
        <v/>
      </c>
      <c r="O239" s="9">
        <f>IF(L239="","",SUM($L$2:L239))</f>
        <v/>
      </c>
      <c r="P239" s="9">
        <f>IF(L239="","",MAX(0,MAX($O$2:O239)))</f>
        <v/>
      </c>
      <c r="Q239" s="9">
        <f>IF(L239="","",P239-O239)</f>
        <v/>
      </c>
      <c r="S239">
        <f>IF(N239="Win",N(S238)+1,0)</f>
        <v/>
      </c>
      <c r="T239">
        <f>IF(N239="Loss",N(T238)+1,0)</f>
        <v/>
      </c>
    </row>
    <row r="240">
      <c r="A240" s="5" t="n"/>
      <c r="B240" s="6" t="n"/>
      <c r="C240" s="6" t="n"/>
      <c r="D240" s="6" t="n"/>
      <c r="E240" s="7" t="n"/>
      <c r="F240" s="7" t="n"/>
      <c r="G240" s="6" t="n"/>
      <c r="H240" s="6" t="n"/>
      <c r="I240" s="7" t="n"/>
      <c r="J240" s="8" t="n"/>
      <c r="K240" s="6" t="n"/>
      <c r="L240" s="9">
        <f>IF(OR(E240="",F240=""),"",ROUND(IF(D240="Short",E240-F240,F240-E240)*G240*H240-I240,2))</f>
        <v/>
      </c>
      <c r="M240" s="10">
        <f>IF(OR(L240="",N(J240)&lt;=0),"",L240/J240)</f>
        <v/>
      </c>
      <c r="N240" s="11">
        <f>IF(L240="","",IF(L240&gt;0,"Win",IF(L240&lt;0,"Loss","Flat")))</f>
        <v/>
      </c>
      <c r="O240" s="9">
        <f>IF(L240="","",SUM($L$2:L240))</f>
        <v/>
      </c>
      <c r="P240" s="9">
        <f>IF(L240="","",MAX(0,MAX($O$2:O240)))</f>
        <v/>
      </c>
      <c r="Q240" s="9">
        <f>IF(L240="","",P240-O240)</f>
        <v/>
      </c>
      <c r="S240">
        <f>IF(N240="Win",N(S239)+1,0)</f>
        <v/>
      </c>
      <c r="T240">
        <f>IF(N240="Loss",N(T239)+1,0)</f>
        <v/>
      </c>
    </row>
    <row r="241">
      <c r="A241" s="5" t="n"/>
      <c r="B241" s="6" t="n"/>
      <c r="C241" s="6" t="n"/>
      <c r="D241" s="6" t="n"/>
      <c r="E241" s="7" t="n"/>
      <c r="F241" s="7" t="n"/>
      <c r="G241" s="6" t="n"/>
      <c r="H241" s="6" t="n"/>
      <c r="I241" s="7" t="n"/>
      <c r="J241" s="8" t="n"/>
      <c r="K241" s="6" t="n"/>
      <c r="L241" s="9">
        <f>IF(OR(E241="",F241=""),"",ROUND(IF(D241="Short",E241-F241,F241-E241)*G241*H241-I241,2))</f>
        <v/>
      </c>
      <c r="M241" s="10">
        <f>IF(OR(L241="",N(J241)&lt;=0),"",L241/J241)</f>
        <v/>
      </c>
      <c r="N241" s="11">
        <f>IF(L241="","",IF(L241&gt;0,"Win",IF(L241&lt;0,"Loss","Flat")))</f>
        <v/>
      </c>
      <c r="O241" s="9">
        <f>IF(L241="","",SUM($L$2:L241))</f>
        <v/>
      </c>
      <c r="P241" s="9">
        <f>IF(L241="","",MAX(0,MAX($O$2:O241)))</f>
        <v/>
      </c>
      <c r="Q241" s="9">
        <f>IF(L241="","",P241-O241)</f>
        <v/>
      </c>
      <c r="S241">
        <f>IF(N241="Win",N(S240)+1,0)</f>
        <v/>
      </c>
      <c r="T241">
        <f>IF(N241="Loss",N(T240)+1,0)</f>
        <v/>
      </c>
    </row>
    <row r="242">
      <c r="A242" s="5" t="n"/>
      <c r="B242" s="6" t="n"/>
      <c r="C242" s="6" t="n"/>
      <c r="D242" s="6" t="n"/>
      <c r="E242" s="7" t="n"/>
      <c r="F242" s="7" t="n"/>
      <c r="G242" s="6" t="n"/>
      <c r="H242" s="6" t="n"/>
      <c r="I242" s="7" t="n"/>
      <c r="J242" s="8" t="n"/>
      <c r="K242" s="6" t="n"/>
      <c r="L242" s="9">
        <f>IF(OR(E242="",F242=""),"",ROUND(IF(D242="Short",E242-F242,F242-E242)*G242*H242-I242,2))</f>
        <v/>
      </c>
      <c r="M242" s="10">
        <f>IF(OR(L242="",N(J242)&lt;=0),"",L242/J242)</f>
        <v/>
      </c>
      <c r="N242" s="11">
        <f>IF(L242="","",IF(L242&gt;0,"Win",IF(L242&lt;0,"Loss","Flat")))</f>
        <v/>
      </c>
      <c r="O242" s="9">
        <f>IF(L242="","",SUM($L$2:L242))</f>
        <v/>
      </c>
      <c r="P242" s="9">
        <f>IF(L242="","",MAX(0,MAX($O$2:O242)))</f>
        <v/>
      </c>
      <c r="Q242" s="9">
        <f>IF(L242="","",P242-O242)</f>
        <v/>
      </c>
      <c r="S242">
        <f>IF(N242="Win",N(S241)+1,0)</f>
        <v/>
      </c>
      <c r="T242">
        <f>IF(N242="Loss",N(T241)+1,0)</f>
        <v/>
      </c>
    </row>
    <row r="243">
      <c r="A243" s="5" t="n"/>
      <c r="B243" s="6" t="n"/>
      <c r="C243" s="6" t="n"/>
      <c r="D243" s="6" t="n"/>
      <c r="E243" s="7" t="n"/>
      <c r="F243" s="7" t="n"/>
      <c r="G243" s="6" t="n"/>
      <c r="H243" s="6" t="n"/>
      <c r="I243" s="7" t="n"/>
      <c r="J243" s="8" t="n"/>
      <c r="K243" s="6" t="n"/>
      <c r="L243" s="9">
        <f>IF(OR(E243="",F243=""),"",ROUND(IF(D243="Short",E243-F243,F243-E243)*G243*H243-I243,2))</f>
        <v/>
      </c>
      <c r="M243" s="10">
        <f>IF(OR(L243="",N(J243)&lt;=0),"",L243/J243)</f>
        <v/>
      </c>
      <c r="N243" s="11">
        <f>IF(L243="","",IF(L243&gt;0,"Win",IF(L243&lt;0,"Loss","Flat")))</f>
        <v/>
      </c>
      <c r="O243" s="9">
        <f>IF(L243="","",SUM($L$2:L243))</f>
        <v/>
      </c>
      <c r="P243" s="9">
        <f>IF(L243="","",MAX(0,MAX($O$2:O243)))</f>
        <v/>
      </c>
      <c r="Q243" s="9">
        <f>IF(L243="","",P243-O243)</f>
        <v/>
      </c>
      <c r="S243">
        <f>IF(N243="Win",N(S242)+1,0)</f>
        <v/>
      </c>
      <c r="T243">
        <f>IF(N243="Loss",N(T242)+1,0)</f>
        <v/>
      </c>
    </row>
    <row r="244">
      <c r="A244" s="5" t="n"/>
      <c r="B244" s="6" t="n"/>
      <c r="C244" s="6" t="n"/>
      <c r="D244" s="6" t="n"/>
      <c r="E244" s="7" t="n"/>
      <c r="F244" s="7" t="n"/>
      <c r="G244" s="6" t="n"/>
      <c r="H244" s="6" t="n"/>
      <c r="I244" s="7" t="n"/>
      <c r="J244" s="8" t="n"/>
      <c r="K244" s="6" t="n"/>
      <c r="L244" s="9">
        <f>IF(OR(E244="",F244=""),"",ROUND(IF(D244="Short",E244-F244,F244-E244)*G244*H244-I244,2))</f>
        <v/>
      </c>
      <c r="M244" s="10">
        <f>IF(OR(L244="",N(J244)&lt;=0),"",L244/J244)</f>
        <v/>
      </c>
      <c r="N244" s="11">
        <f>IF(L244="","",IF(L244&gt;0,"Win",IF(L244&lt;0,"Loss","Flat")))</f>
        <v/>
      </c>
      <c r="O244" s="9">
        <f>IF(L244="","",SUM($L$2:L244))</f>
        <v/>
      </c>
      <c r="P244" s="9">
        <f>IF(L244="","",MAX(0,MAX($O$2:O244)))</f>
        <v/>
      </c>
      <c r="Q244" s="9">
        <f>IF(L244="","",P244-O244)</f>
        <v/>
      </c>
      <c r="S244">
        <f>IF(N244="Win",N(S243)+1,0)</f>
        <v/>
      </c>
      <c r="T244">
        <f>IF(N244="Loss",N(T243)+1,0)</f>
        <v/>
      </c>
    </row>
    <row r="245">
      <c r="A245" s="5" t="n"/>
      <c r="B245" s="6" t="n"/>
      <c r="C245" s="6" t="n"/>
      <c r="D245" s="6" t="n"/>
      <c r="E245" s="7" t="n"/>
      <c r="F245" s="7" t="n"/>
      <c r="G245" s="6" t="n"/>
      <c r="H245" s="6" t="n"/>
      <c r="I245" s="7" t="n"/>
      <c r="J245" s="8" t="n"/>
      <c r="K245" s="6" t="n"/>
      <c r="L245" s="9">
        <f>IF(OR(E245="",F245=""),"",ROUND(IF(D245="Short",E245-F245,F245-E245)*G245*H245-I245,2))</f>
        <v/>
      </c>
      <c r="M245" s="10">
        <f>IF(OR(L245="",N(J245)&lt;=0),"",L245/J245)</f>
        <v/>
      </c>
      <c r="N245" s="11">
        <f>IF(L245="","",IF(L245&gt;0,"Win",IF(L245&lt;0,"Loss","Flat")))</f>
        <v/>
      </c>
      <c r="O245" s="9">
        <f>IF(L245="","",SUM($L$2:L245))</f>
        <v/>
      </c>
      <c r="P245" s="9">
        <f>IF(L245="","",MAX(0,MAX($O$2:O245)))</f>
        <v/>
      </c>
      <c r="Q245" s="9">
        <f>IF(L245="","",P245-O245)</f>
        <v/>
      </c>
      <c r="S245">
        <f>IF(N245="Win",N(S244)+1,0)</f>
        <v/>
      </c>
      <c r="T245">
        <f>IF(N245="Loss",N(T244)+1,0)</f>
        <v/>
      </c>
    </row>
    <row r="246">
      <c r="A246" s="5" t="n"/>
      <c r="B246" s="6" t="n"/>
      <c r="C246" s="6" t="n"/>
      <c r="D246" s="6" t="n"/>
      <c r="E246" s="7" t="n"/>
      <c r="F246" s="7" t="n"/>
      <c r="G246" s="6" t="n"/>
      <c r="H246" s="6" t="n"/>
      <c r="I246" s="7" t="n"/>
      <c r="J246" s="8" t="n"/>
      <c r="K246" s="6" t="n"/>
      <c r="L246" s="9">
        <f>IF(OR(E246="",F246=""),"",ROUND(IF(D246="Short",E246-F246,F246-E246)*G246*H246-I246,2))</f>
        <v/>
      </c>
      <c r="M246" s="10">
        <f>IF(OR(L246="",N(J246)&lt;=0),"",L246/J246)</f>
        <v/>
      </c>
      <c r="N246" s="11">
        <f>IF(L246="","",IF(L246&gt;0,"Win",IF(L246&lt;0,"Loss","Flat")))</f>
        <v/>
      </c>
      <c r="O246" s="9">
        <f>IF(L246="","",SUM($L$2:L246))</f>
        <v/>
      </c>
      <c r="P246" s="9">
        <f>IF(L246="","",MAX(0,MAX($O$2:O246)))</f>
        <v/>
      </c>
      <c r="Q246" s="9">
        <f>IF(L246="","",P246-O246)</f>
        <v/>
      </c>
      <c r="S246">
        <f>IF(N246="Win",N(S245)+1,0)</f>
        <v/>
      </c>
      <c r="T246">
        <f>IF(N246="Loss",N(T245)+1,0)</f>
        <v/>
      </c>
    </row>
    <row r="247">
      <c r="A247" s="5" t="n"/>
      <c r="B247" s="6" t="n"/>
      <c r="C247" s="6" t="n"/>
      <c r="D247" s="6" t="n"/>
      <c r="E247" s="7" t="n"/>
      <c r="F247" s="7" t="n"/>
      <c r="G247" s="6" t="n"/>
      <c r="H247" s="6" t="n"/>
      <c r="I247" s="7" t="n"/>
      <c r="J247" s="8" t="n"/>
      <c r="K247" s="6" t="n"/>
      <c r="L247" s="9">
        <f>IF(OR(E247="",F247=""),"",ROUND(IF(D247="Short",E247-F247,F247-E247)*G247*H247-I247,2))</f>
        <v/>
      </c>
      <c r="M247" s="10">
        <f>IF(OR(L247="",N(J247)&lt;=0),"",L247/J247)</f>
        <v/>
      </c>
      <c r="N247" s="11">
        <f>IF(L247="","",IF(L247&gt;0,"Win",IF(L247&lt;0,"Loss","Flat")))</f>
        <v/>
      </c>
      <c r="O247" s="9">
        <f>IF(L247="","",SUM($L$2:L247))</f>
        <v/>
      </c>
      <c r="P247" s="9">
        <f>IF(L247="","",MAX(0,MAX($O$2:O247)))</f>
        <v/>
      </c>
      <c r="Q247" s="9">
        <f>IF(L247="","",P247-O247)</f>
        <v/>
      </c>
      <c r="S247">
        <f>IF(N247="Win",N(S246)+1,0)</f>
        <v/>
      </c>
      <c r="T247">
        <f>IF(N247="Loss",N(T246)+1,0)</f>
        <v/>
      </c>
    </row>
    <row r="248">
      <c r="A248" s="5" t="n"/>
      <c r="B248" s="6" t="n"/>
      <c r="C248" s="6" t="n"/>
      <c r="D248" s="6" t="n"/>
      <c r="E248" s="7" t="n"/>
      <c r="F248" s="7" t="n"/>
      <c r="G248" s="6" t="n"/>
      <c r="H248" s="6" t="n"/>
      <c r="I248" s="7" t="n"/>
      <c r="J248" s="8" t="n"/>
      <c r="K248" s="6" t="n"/>
      <c r="L248" s="9">
        <f>IF(OR(E248="",F248=""),"",ROUND(IF(D248="Short",E248-F248,F248-E248)*G248*H248-I248,2))</f>
        <v/>
      </c>
      <c r="M248" s="10">
        <f>IF(OR(L248="",N(J248)&lt;=0),"",L248/J248)</f>
        <v/>
      </c>
      <c r="N248" s="11">
        <f>IF(L248="","",IF(L248&gt;0,"Win",IF(L248&lt;0,"Loss","Flat")))</f>
        <v/>
      </c>
      <c r="O248" s="9">
        <f>IF(L248="","",SUM($L$2:L248))</f>
        <v/>
      </c>
      <c r="P248" s="9">
        <f>IF(L248="","",MAX(0,MAX($O$2:O248)))</f>
        <v/>
      </c>
      <c r="Q248" s="9">
        <f>IF(L248="","",P248-O248)</f>
        <v/>
      </c>
      <c r="S248">
        <f>IF(N248="Win",N(S247)+1,0)</f>
        <v/>
      </c>
      <c r="T248">
        <f>IF(N248="Loss",N(T247)+1,0)</f>
        <v/>
      </c>
    </row>
    <row r="249">
      <c r="A249" s="5" t="n"/>
      <c r="B249" s="6" t="n"/>
      <c r="C249" s="6" t="n"/>
      <c r="D249" s="6" t="n"/>
      <c r="E249" s="7" t="n"/>
      <c r="F249" s="7" t="n"/>
      <c r="G249" s="6" t="n"/>
      <c r="H249" s="6" t="n"/>
      <c r="I249" s="7" t="n"/>
      <c r="J249" s="8" t="n"/>
      <c r="K249" s="6" t="n"/>
      <c r="L249" s="9">
        <f>IF(OR(E249="",F249=""),"",ROUND(IF(D249="Short",E249-F249,F249-E249)*G249*H249-I249,2))</f>
        <v/>
      </c>
      <c r="M249" s="10">
        <f>IF(OR(L249="",N(J249)&lt;=0),"",L249/J249)</f>
        <v/>
      </c>
      <c r="N249" s="11">
        <f>IF(L249="","",IF(L249&gt;0,"Win",IF(L249&lt;0,"Loss","Flat")))</f>
        <v/>
      </c>
      <c r="O249" s="9">
        <f>IF(L249="","",SUM($L$2:L249))</f>
        <v/>
      </c>
      <c r="P249" s="9">
        <f>IF(L249="","",MAX(0,MAX($O$2:O249)))</f>
        <v/>
      </c>
      <c r="Q249" s="9">
        <f>IF(L249="","",P249-O249)</f>
        <v/>
      </c>
      <c r="S249">
        <f>IF(N249="Win",N(S248)+1,0)</f>
        <v/>
      </c>
      <c r="T249">
        <f>IF(N249="Loss",N(T248)+1,0)</f>
        <v/>
      </c>
    </row>
    <row r="250">
      <c r="A250" s="5" t="n"/>
      <c r="B250" s="6" t="n"/>
      <c r="C250" s="6" t="n"/>
      <c r="D250" s="6" t="n"/>
      <c r="E250" s="7" t="n"/>
      <c r="F250" s="7" t="n"/>
      <c r="G250" s="6" t="n"/>
      <c r="H250" s="6" t="n"/>
      <c r="I250" s="7" t="n"/>
      <c r="J250" s="8" t="n"/>
      <c r="K250" s="6" t="n"/>
      <c r="L250" s="9">
        <f>IF(OR(E250="",F250=""),"",ROUND(IF(D250="Short",E250-F250,F250-E250)*G250*H250-I250,2))</f>
        <v/>
      </c>
      <c r="M250" s="10">
        <f>IF(OR(L250="",N(J250)&lt;=0),"",L250/J250)</f>
        <v/>
      </c>
      <c r="N250" s="11">
        <f>IF(L250="","",IF(L250&gt;0,"Win",IF(L250&lt;0,"Loss","Flat")))</f>
        <v/>
      </c>
      <c r="O250" s="9">
        <f>IF(L250="","",SUM($L$2:L250))</f>
        <v/>
      </c>
      <c r="P250" s="9">
        <f>IF(L250="","",MAX(0,MAX($O$2:O250)))</f>
        <v/>
      </c>
      <c r="Q250" s="9">
        <f>IF(L250="","",P250-O250)</f>
        <v/>
      </c>
      <c r="S250">
        <f>IF(N250="Win",N(S249)+1,0)</f>
        <v/>
      </c>
      <c r="T250">
        <f>IF(N250="Loss",N(T249)+1,0)</f>
        <v/>
      </c>
    </row>
    <row r="251">
      <c r="A251" s="5" t="n"/>
      <c r="B251" s="6" t="n"/>
      <c r="C251" s="6" t="n"/>
      <c r="D251" s="6" t="n"/>
      <c r="E251" s="7" t="n"/>
      <c r="F251" s="7" t="n"/>
      <c r="G251" s="6" t="n"/>
      <c r="H251" s="6" t="n"/>
      <c r="I251" s="7" t="n"/>
      <c r="J251" s="8" t="n"/>
      <c r="K251" s="6" t="n"/>
      <c r="L251" s="9">
        <f>IF(OR(E251="",F251=""),"",ROUND(IF(D251="Short",E251-F251,F251-E251)*G251*H251-I251,2))</f>
        <v/>
      </c>
      <c r="M251" s="10">
        <f>IF(OR(L251="",N(J251)&lt;=0),"",L251/J251)</f>
        <v/>
      </c>
      <c r="N251" s="11">
        <f>IF(L251="","",IF(L251&gt;0,"Win",IF(L251&lt;0,"Loss","Flat")))</f>
        <v/>
      </c>
      <c r="O251" s="9">
        <f>IF(L251="","",SUM($L$2:L251))</f>
        <v/>
      </c>
      <c r="P251" s="9">
        <f>IF(L251="","",MAX(0,MAX($O$2:O251)))</f>
        <v/>
      </c>
      <c r="Q251" s="9">
        <f>IF(L251="","",P251-O251)</f>
        <v/>
      </c>
      <c r="S251">
        <f>IF(N251="Win",N(S250)+1,0)</f>
        <v/>
      </c>
      <c r="T251">
        <f>IF(N251="Loss",N(T250)+1,0)</f>
        <v/>
      </c>
    </row>
    <row r="252">
      <c r="A252" s="5" t="n"/>
      <c r="B252" s="6" t="n"/>
      <c r="C252" s="6" t="n"/>
      <c r="D252" s="6" t="n"/>
      <c r="E252" s="7" t="n"/>
      <c r="F252" s="7" t="n"/>
      <c r="G252" s="6" t="n"/>
      <c r="H252" s="6" t="n"/>
      <c r="I252" s="7" t="n"/>
      <c r="J252" s="8" t="n"/>
      <c r="K252" s="6" t="n"/>
      <c r="L252" s="9">
        <f>IF(OR(E252="",F252=""),"",ROUND(IF(D252="Short",E252-F252,F252-E252)*G252*H252-I252,2))</f>
        <v/>
      </c>
      <c r="M252" s="10">
        <f>IF(OR(L252="",N(J252)&lt;=0),"",L252/J252)</f>
        <v/>
      </c>
      <c r="N252" s="11">
        <f>IF(L252="","",IF(L252&gt;0,"Win",IF(L252&lt;0,"Loss","Flat")))</f>
        <v/>
      </c>
      <c r="O252" s="9">
        <f>IF(L252="","",SUM($L$2:L252))</f>
        <v/>
      </c>
      <c r="P252" s="9">
        <f>IF(L252="","",MAX(0,MAX($O$2:O252)))</f>
        <v/>
      </c>
      <c r="Q252" s="9">
        <f>IF(L252="","",P252-O252)</f>
        <v/>
      </c>
      <c r="S252">
        <f>IF(N252="Win",N(S251)+1,0)</f>
        <v/>
      </c>
      <c r="T252">
        <f>IF(N252="Loss",N(T251)+1,0)</f>
        <v/>
      </c>
    </row>
    <row r="253">
      <c r="A253" s="5" t="n"/>
      <c r="B253" s="6" t="n"/>
      <c r="C253" s="6" t="n"/>
      <c r="D253" s="6" t="n"/>
      <c r="E253" s="7" t="n"/>
      <c r="F253" s="7" t="n"/>
      <c r="G253" s="6" t="n"/>
      <c r="H253" s="6" t="n"/>
      <c r="I253" s="7" t="n"/>
      <c r="J253" s="8" t="n"/>
      <c r="K253" s="6" t="n"/>
      <c r="L253" s="9">
        <f>IF(OR(E253="",F253=""),"",ROUND(IF(D253="Short",E253-F253,F253-E253)*G253*H253-I253,2))</f>
        <v/>
      </c>
      <c r="M253" s="10">
        <f>IF(OR(L253="",N(J253)&lt;=0),"",L253/J253)</f>
        <v/>
      </c>
      <c r="N253" s="11">
        <f>IF(L253="","",IF(L253&gt;0,"Win",IF(L253&lt;0,"Loss","Flat")))</f>
        <v/>
      </c>
      <c r="O253" s="9">
        <f>IF(L253="","",SUM($L$2:L253))</f>
        <v/>
      </c>
      <c r="P253" s="9">
        <f>IF(L253="","",MAX(0,MAX($O$2:O253)))</f>
        <v/>
      </c>
      <c r="Q253" s="9">
        <f>IF(L253="","",P253-O253)</f>
        <v/>
      </c>
      <c r="S253">
        <f>IF(N253="Win",N(S252)+1,0)</f>
        <v/>
      </c>
      <c r="T253">
        <f>IF(N253="Loss",N(T252)+1,0)</f>
        <v/>
      </c>
    </row>
    <row r="254">
      <c r="A254" s="5" t="n"/>
      <c r="B254" s="6" t="n"/>
      <c r="C254" s="6" t="n"/>
      <c r="D254" s="6" t="n"/>
      <c r="E254" s="7" t="n"/>
      <c r="F254" s="7" t="n"/>
      <c r="G254" s="6" t="n"/>
      <c r="H254" s="6" t="n"/>
      <c r="I254" s="7" t="n"/>
      <c r="J254" s="8" t="n"/>
      <c r="K254" s="6" t="n"/>
      <c r="L254" s="9">
        <f>IF(OR(E254="",F254=""),"",ROUND(IF(D254="Short",E254-F254,F254-E254)*G254*H254-I254,2))</f>
        <v/>
      </c>
      <c r="M254" s="10">
        <f>IF(OR(L254="",N(J254)&lt;=0),"",L254/J254)</f>
        <v/>
      </c>
      <c r="N254" s="11">
        <f>IF(L254="","",IF(L254&gt;0,"Win",IF(L254&lt;0,"Loss","Flat")))</f>
        <v/>
      </c>
      <c r="O254" s="9">
        <f>IF(L254="","",SUM($L$2:L254))</f>
        <v/>
      </c>
      <c r="P254" s="9">
        <f>IF(L254="","",MAX(0,MAX($O$2:O254)))</f>
        <v/>
      </c>
      <c r="Q254" s="9">
        <f>IF(L254="","",P254-O254)</f>
        <v/>
      </c>
      <c r="S254">
        <f>IF(N254="Win",N(S253)+1,0)</f>
        <v/>
      </c>
      <c r="T254">
        <f>IF(N254="Loss",N(T253)+1,0)</f>
        <v/>
      </c>
    </row>
    <row r="255">
      <c r="A255" s="5" t="n"/>
      <c r="B255" s="6" t="n"/>
      <c r="C255" s="6" t="n"/>
      <c r="D255" s="6" t="n"/>
      <c r="E255" s="7" t="n"/>
      <c r="F255" s="7" t="n"/>
      <c r="G255" s="6" t="n"/>
      <c r="H255" s="6" t="n"/>
      <c r="I255" s="7" t="n"/>
      <c r="J255" s="8" t="n"/>
      <c r="K255" s="6" t="n"/>
      <c r="L255" s="9">
        <f>IF(OR(E255="",F255=""),"",ROUND(IF(D255="Short",E255-F255,F255-E255)*G255*H255-I255,2))</f>
        <v/>
      </c>
      <c r="M255" s="10">
        <f>IF(OR(L255="",N(J255)&lt;=0),"",L255/J255)</f>
        <v/>
      </c>
      <c r="N255" s="11">
        <f>IF(L255="","",IF(L255&gt;0,"Win",IF(L255&lt;0,"Loss","Flat")))</f>
        <v/>
      </c>
      <c r="O255" s="9">
        <f>IF(L255="","",SUM($L$2:L255))</f>
        <v/>
      </c>
      <c r="P255" s="9">
        <f>IF(L255="","",MAX(0,MAX($O$2:O255)))</f>
        <v/>
      </c>
      <c r="Q255" s="9">
        <f>IF(L255="","",P255-O255)</f>
        <v/>
      </c>
      <c r="S255">
        <f>IF(N255="Win",N(S254)+1,0)</f>
        <v/>
      </c>
      <c r="T255">
        <f>IF(N255="Loss",N(T254)+1,0)</f>
        <v/>
      </c>
    </row>
    <row r="256">
      <c r="A256" s="5" t="n"/>
      <c r="B256" s="6" t="n"/>
      <c r="C256" s="6" t="n"/>
      <c r="D256" s="6" t="n"/>
      <c r="E256" s="7" t="n"/>
      <c r="F256" s="7" t="n"/>
      <c r="G256" s="6" t="n"/>
      <c r="H256" s="6" t="n"/>
      <c r="I256" s="7" t="n"/>
      <c r="J256" s="8" t="n"/>
      <c r="K256" s="6" t="n"/>
      <c r="L256" s="9">
        <f>IF(OR(E256="",F256=""),"",ROUND(IF(D256="Short",E256-F256,F256-E256)*G256*H256-I256,2))</f>
        <v/>
      </c>
      <c r="M256" s="10">
        <f>IF(OR(L256="",N(J256)&lt;=0),"",L256/J256)</f>
        <v/>
      </c>
      <c r="N256" s="11">
        <f>IF(L256="","",IF(L256&gt;0,"Win",IF(L256&lt;0,"Loss","Flat")))</f>
        <v/>
      </c>
      <c r="O256" s="9">
        <f>IF(L256="","",SUM($L$2:L256))</f>
        <v/>
      </c>
      <c r="P256" s="9">
        <f>IF(L256="","",MAX(0,MAX($O$2:O256)))</f>
        <v/>
      </c>
      <c r="Q256" s="9">
        <f>IF(L256="","",P256-O256)</f>
        <v/>
      </c>
      <c r="S256">
        <f>IF(N256="Win",N(S255)+1,0)</f>
        <v/>
      </c>
      <c r="T256">
        <f>IF(N256="Loss",N(T255)+1,0)</f>
        <v/>
      </c>
    </row>
    <row r="257">
      <c r="A257" s="5" t="n"/>
      <c r="B257" s="6" t="n"/>
      <c r="C257" s="6" t="n"/>
      <c r="D257" s="6" t="n"/>
      <c r="E257" s="7" t="n"/>
      <c r="F257" s="7" t="n"/>
      <c r="G257" s="6" t="n"/>
      <c r="H257" s="6" t="n"/>
      <c r="I257" s="7" t="n"/>
      <c r="J257" s="8" t="n"/>
      <c r="K257" s="6" t="n"/>
      <c r="L257" s="9">
        <f>IF(OR(E257="",F257=""),"",ROUND(IF(D257="Short",E257-F257,F257-E257)*G257*H257-I257,2))</f>
        <v/>
      </c>
      <c r="M257" s="10">
        <f>IF(OR(L257="",N(J257)&lt;=0),"",L257/J257)</f>
        <v/>
      </c>
      <c r="N257" s="11">
        <f>IF(L257="","",IF(L257&gt;0,"Win",IF(L257&lt;0,"Loss","Flat")))</f>
        <v/>
      </c>
      <c r="O257" s="9">
        <f>IF(L257="","",SUM($L$2:L257))</f>
        <v/>
      </c>
      <c r="P257" s="9">
        <f>IF(L257="","",MAX(0,MAX($O$2:O257)))</f>
        <v/>
      </c>
      <c r="Q257" s="9">
        <f>IF(L257="","",P257-O257)</f>
        <v/>
      </c>
      <c r="S257">
        <f>IF(N257="Win",N(S256)+1,0)</f>
        <v/>
      </c>
      <c r="T257">
        <f>IF(N257="Loss",N(T256)+1,0)</f>
        <v/>
      </c>
    </row>
    <row r="258">
      <c r="A258" s="5" t="n"/>
      <c r="B258" s="6" t="n"/>
      <c r="C258" s="6" t="n"/>
      <c r="D258" s="6" t="n"/>
      <c r="E258" s="7" t="n"/>
      <c r="F258" s="7" t="n"/>
      <c r="G258" s="6" t="n"/>
      <c r="H258" s="6" t="n"/>
      <c r="I258" s="7" t="n"/>
      <c r="J258" s="8" t="n"/>
      <c r="K258" s="6" t="n"/>
      <c r="L258" s="9">
        <f>IF(OR(E258="",F258=""),"",ROUND(IF(D258="Short",E258-F258,F258-E258)*G258*H258-I258,2))</f>
        <v/>
      </c>
      <c r="M258" s="10">
        <f>IF(OR(L258="",N(J258)&lt;=0),"",L258/J258)</f>
        <v/>
      </c>
      <c r="N258" s="11">
        <f>IF(L258="","",IF(L258&gt;0,"Win",IF(L258&lt;0,"Loss","Flat")))</f>
        <v/>
      </c>
      <c r="O258" s="9">
        <f>IF(L258="","",SUM($L$2:L258))</f>
        <v/>
      </c>
      <c r="P258" s="9">
        <f>IF(L258="","",MAX(0,MAX($O$2:O258)))</f>
        <v/>
      </c>
      <c r="Q258" s="9">
        <f>IF(L258="","",P258-O258)</f>
        <v/>
      </c>
      <c r="S258">
        <f>IF(N258="Win",N(S257)+1,0)</f>
        <v/>
      </c>
      <c r="T258">
        <f>IF(N258="Loss",N(T257)+1,0)</f>
        <v/>
      </c>
    </row>
    <row r="259">
      <c r="A259" s="5" t="n"/>
      <c r="B259" s="6" t="n"/>
      <c r="C259" s="6" t="n"/>
      <c r="D259" s="6" t="n"/>
      <c r="E259" s="7" t="n"/>
      <c r="F259" s="7" t="n"/>
      <c r="G259" s="6" t="n"/>
      <c r="H259" s="6" t="n"/>
      <c r="I259" s="7" t="n"/>
      <c r="J259" s="8" t="n"/>
      <c r="K259" s="6" t="n"/>
      <c r="L259" s="9">
        <f>IF(OR(E259="",F259=""),"",ROUND(IF(D259="Short",E259-F259,F259-E259)*G259*H259-I259,2))</f>
        <v/>
      </c>
      <c r="M259" s="10">
        <f>IF(OR(L259="",N(J259)&lt;=0),"",L259/J259)</f>
        <v/>
      </c>
      <c r="N259" s="11">
        <f>IF(L259="","",IF(L259&gt;0,"Win",IF(L259&lt;0,"Loss","Flat")))</f>
        <v/>
      </c>
      <c r="O259" s="9">
        <f>IF(L259="","",SUM($L$2:L259))</f>
        <v/>
      </c>
      <c r="P259" s="9">
        <f>IF(L259="","",MAX(0,MAX($O$2:O259)))</f>
        <v/>
      </c>
      <c r="Q259" s="9">
        <f>IF(L259="","",P259-O259)</f>
        <v/>
      </c>
      <c r="S259">
        <f>IF(N259="Win",N(S258)+1,0)</f>
        <v/>
      </c>
      <c r="T259">
        <f>IF(N259="Loss",N(T258)+1,0)</f>
        <v/>
      </c>
    </row>
    <row r="260">
      <c r="A260" s="5" t="n"/>
      <c r="B260" s="6" t="n"/>
      <c r="C260" s="6" t="n"/>
      <c r="D260" s="6" t="n"/>
      <c r="E260" s="7" t="n"/>
      <c r="F260" s="7" t="n"/>
      <c r="G260" s="6" t="n"/>
      <c r="H260" s="6" t="n"/>
      <c r="I260" s="7" t="n"/>
      <c r="J260" s="8" t="n"/>
      <c r="K260" s="6" t="n"/>
      <c r="L260" s="9">
        <f>IF(OR(E260="",F260=""),"",ROUND(IF(D260="Short",E260-F260,F260-E260)*G260*H260-I260,2))</f>
        <v/>
      </c>
      <c r="M260" s="10">
        <f>IF(OR(L260="",N(J260)&lt;=0),"",L260/J260)</f>
        <v/>
      </c>
      <c r="N260" s="11">
        <f>IF(L260="","",IF(L260&gt;0,"Win",IF(L260&lt;0,"Loss","Flat")))</f>
        <v/>
      </c>
      <c r="O260" s="9">
        <f>IF(L260="","",SUM($L$2:L260))</f>
        <v/>
      </c>
      <c r="P260" s="9">
        <f>IF(L260="","",MAX(0,MAX($O$2:O260)))</f>
        <v/>
      </c>
      <c r="Q260" s="9">
        <f>IF(L260="","",P260-O260)</f>
        <v/>
      </c>
      <c r="S260">
        <f>IF(N260="Win",N(S259)+1,0)</f>
        <v/>
      </c>
      <c r="T260">
        <f>IF(N260="Loss",N(T259)+1,0)</f>
        <v/>
      </c>
    </row>
    <row r="261">
      <c r="A261" s="5" t="n"/>
      <c r="B261" s="6" t="n"/>
      <c r="C261" s="6" t="n"/>
      <c r="D261" s="6" t="n"/>
      <c r="E261" s="7" t="n"/>
      <c r="F261" s="7" t="n"/>
      <c r="G261" s="6" t="n"/>
      <c r="H261" s="6" t="n"/>
      <c r="I261" s="7" t="n"/>
      <c r="J261" s="8" t="n"/>
      <c r="K261" s="6" t="n"/>
      <c r="L261" s="9">
        <f>IF(OR(E261="",F261=""),"",ROUND(IF(D261="Short",E261-F261,F261-E261)*G261*H261-I261,2))</f>
        <v/>
      </c>
      <c r="M261" s="10">
        <f>IF(OR(L261="",N(J261)&lt;=0),"",L261/J261)</f>
        <v/>
      </c>
      <c r="N261" s="11">
        <f>IF(L261="","",IF(L261&gt;0,"Win",IF(L261&lt;0,"Loss","Flat")))</f>
        <v/>
      </c>
      <c r="O261" s="9">
        <f>IF(L261="","",SUM($L$2:L261))</f>
        <v/>
      </c>
      <c r="P261" s="9">
        <f>IF(L261="","",MAX(0,MAX($O$2:O261)))</f>
        <v/>
      </c>
      <c r="Q261" s="9">
        <f>IF(L261="","",P261-O261)</f>
        <v/>
      </c>
      <c r="S261">
        <f>IF(N261="Win",N(S260)+1,0)</f>
        <v/>
      </c>
      <c r="T261">
        <f>IF(N261="Loss",N(T260)+1,0)</f>
        <v/>
      </c>
    </row>
    <row r="262">
      <c r="A262" s="5" t="n"/>
      <c r="B262" s="6" t="n"/>
      <c r="C262" s="6" t="n"/>
      <c r="D262" s="6" t="n"/>
      <c r="E262" s="7" t="n"/>
      <c r="F262" s="7" t="n"/>
      <c r="G262" s="6" t="n"/>
      <c r="H262" s="6" t="n"/>
      <c r="I262" s="7" t="n"/>
      <c r="J262" s="8" t="n"/>
      <c r="K262" s="6" t="n"/>
      <c r="L262" s="9">
        <f>IF(OR(E262="",F262=""),"",ROUND(IF(D262="Short",E262-F262,F262-E262)*G262*H262-I262,2))</f>
        <v/>
      </c>
      <c r="M262" s="10">
        <f>IF(OR(L262="",N(J262)&lt;=0),"",L262/J262)</f>
        <v/>
      </c>
      <c r="N262" s="11">
        <f>IF(L262="","",IF(L262&gt;0,"Win",IF(L262&lt;0,"Loss","Flat")))</f>
        <v/>
      </c>
      <c r="O262" s="9">
        <f>IF(L262="","",SUM($L$2:L262))</f>
        <v/>
      </c>
      <c r="P262" s="9">
        <f>IF(L262="","",MAX(0,MAX($O$2:O262)))</f>
        <v/>
      </c>
      <c r="Q262" s="9">
        <f>IF(L262="","",P262-O262)</f>
        <v/>
      </c>
      <c r="S262">
        <f>IF(N262="Win",N(S261)+1,0)</f>
        <v/>
      </c>
      <c r="T262">
        <f>IF(N262="Loss",N(T261)+1,0)</f>
        <v/>
      </c>
    </row>
    <row r="263">
      <c r="A263" s="5" t="n"/>
      <c r="B263" s="6" t="n"/>
      <c r="C263" s="6" t="n"/>
      <c r="D263" s="6" t="n"/>
      <c r="E263" s="7" t="n"/>
      <c r="F263" s="7" t="n"/>
      <c r="G263" s="6" t="n"/>
      <c r="H263" s="6" t="n"/>
      <c r="I263" s="7" t="n"/>
      <c r="J263" s="8" t="n"/>
      <c r="K263" s="6" t="n"/>
      <c r="L263" s="9">
        <f>IF(OR(E263="",F263=""),"",ROUND(IF(D263="Short",E263-F263,F263-E263)*G263*H263-I263,2))</f>
        <v/>
      </c>
      <c r="M263" s="10">
        <f>IF(OR(L263="",N(J263)&lt;=0),"",L263/J263)</f>
        <v/>
      </c>
      <c r="N263" s="11">
        <f>IF(L263="","",IF(L263&gt;0,"Win",IF(L263&lt;0,"Loss","Flat")))</f>
        <v/>
      </c>
      <c r="O263" s="9">
        <f>IF(L263="","",SUM($L$2:L263))</f>
        <v/>
      </c>
      <c r="P263" s="9">
        <f>IF(L263="","",MAX(0,MAX($O$2:O263)))</f>
        <v/>
      </c>
      <c r="Q263" s="9">
        <f>IF(L263="","",P263-O263)</f>
        <v/>
      </c>
      <c r="S263">
        <f>IF(N263="Win",N(S262)+1,0)</f>
        <v/>
      </c>
      <c r="T263">
        <f>IF(N263="Loss",N(T262)+1,0)</f>
        <v/>
      </c>
    </row>
    <row r="264">
      <c r="A264" s="5" t="n"/>
      <c r="B264" s="6" t="n"/>
      <c r="C264" s="6" t="n"/>
      <c r="D264" s="6" t="n"/>
      <c r="E264" s="7" t="n"/>
      <c r="F264" s="7" t="n"/>
      <c r="G264" s="6" t="n"/>
      <c r="H264" s="6" t="n"/>
      <c r="I264" s="7" t="n"/>
      <c r="J264" s="8" t="n"/>
      <c r="K264" s="6" t="n"/>
      <c r="L264" s="9">
        <f>IF(OR(E264="",F264=""),"",ROUND(IF(D264="Short",E264-F264,F264-E264)*G264*H264-I264,2))</f>
        <v/>
      </c>
      <c r="M264" s="10">
        <f>IF(OR(L264="",N(J264)&lt;=0),"",L264/J264)</f>
        <v/>
      </c>
      <c r="N264" s="11">
        <f>IF(L264="","",IF(L264&gt;0,"Win",IF(L264&lt;0,"Loss","Flat")))</f>
        <v/>
      </c>
      <c r="O264" s="9">
        <f>IF(L264="","",SUM($L$2:L264))</f>
        <v/>
      </c>
      <c r="P264" s="9">
        <f>IF(L264="","",MAX(0,MAX($O$2:O264)))</f>
        <v/>
      </c>
      <c r="Q264" s="9">
        <f>IF(L264="","",P264-O264)</f>
        <v/>
      </c>
      <c r="S264">
        <f>IF(N264="Win",N(S263)+1,0)</f>
        <v/>
      </c>
      <c r="T264">
        <f>IF(N264="Loss",N(T263)+1,0)</f>
        <v/>
      </c>
    </row>
    <row r="265">
      <c r="A265" s="5" t="n"/>
      <c r="B265" s="6" t="n"/>
      <c r="C265" s="6" t="n"/>
      <c r="D265" s="6" t="n"/>
      <c r="E265" s="7" t="n"/>
      <c r="F265" s="7" t="n"/>
      <c r="G265" s="6" t="n"/>
      <c r="H265" s="6" t="n"/>
      <c r="I265" s="7" t="n"/>
      <c r="J265" s="8" t="n"/>
      <c r="K265" s="6" t="n"/>
      <c r="L265" s="9">
        <f>IF(OR(E265="",F265=""),"",ROUND(IF(D265="Short",E265-F265,F265-E265)*G265*H265-I265,2))</f>
        <v/>
      </c>
      <c r="M265" s="10">
        <f>IF(OR(L265="",N(J265)&lt;=0),"",L265/J265)</f>
        <v/>
      </c>
      <c r="N265" s="11">
        <f>IF(L265="","",IF(L265&gt;0,"Win",IF(L265&lt;0,"Loss","Flat")))</f>
        <v/>
      </c>
      <c r="O265" s="9">
        <f>IF(L265="","",SUM($L$2:L265))</f>
        <v/>
      </c>
      <c r="P265" s="9">
        <f>IF(L265="","",MAX(0,MAX($O$2:O265)))</f>
        <v/>
      </c>
      <c r="Q265" s="9">
        <f>IF(L265="","",P265-O265)</f>
        <v/>
      </c>
      <c r="S265">
        <f>IF(N265="Win",N(S264)+1,0)</f>
        <v/>
      </c>
      <c r="T265">
        <f>IF(N265="Loss",N(T264)+1,0)</f>
        <v/>
      </c>
    </row>
    <row r="266">
      <c r="A266" s="5" t="n"/>
      <c r="B266" s="6" t="n"/>
      <c r="C266" s="6" t="n"/>
      <c r="D266" s="6" t="n"/>
      <c r="E266" s="7" t="n"/>
      <c r="F266" s="7" t="n"/>
      <c r="G266" s="6" t="n"/>
      <c r="H266" s="6" t="n"/>
      <c r="I266" s="7" t="n"/>
      <c r="J266" s="8" t="n"/>
      <c r="K266" s="6" t="n"/>
      <c r="L266" s="9">
        <f>IF(OR(E266="",F266=""),"",ROUND(IF(D266="Short",E266-F266,F266-E266)*G266*H266-I266,2))</f>
        <v/>
      </c>
      <c r="M266" s="10">
        <f>IF(OR(L266="",N(J266)&lt;=0),"",L266/J266)</f>
        <v/>
      </c>
      <c r="N266" s="11">
        <f>IF(L266="","",IF(L266&gt;0,"Win",IF(L266&lt;0,"Loss","Flat")))</f>
        <v/>
      </c>
      <c r="O266" s="9">
        <f>IF(L266="","",SUM($L$2:L266))</f>
        <v/>
      </c>
      <c r="P266" s="9">
        <f>IF(L266="","",MAX(0,MAX($O$2:O266)))</f>
        <v/>
      </c>
      <c r="Q266" s="9">
        <f>IF(L266="","",P266-O266)</f>
        <v/>
      </c>
      <c r="S266">
        <f>IF(N266="Win",N(S265)+1,0)</f>
        <v/>
      </c>
      <c r="T266">
        <f>IF(N266="Loss",N(T265)+1,0)</f>
        <v/>
      </c>
    </row>
    <row r="267">
      <c r="A267" s="5" t="n"/>
      <c r="B267" s="6" t="n"/>
      <c r="C267" s="6" t="n"/>
      <c r="D267" s="6" t="n"/>
      <c r="E267" s="7" t="n"/>
      <c r="F267" s="7" t="n"/>
      <c r="G267" s="6" t="n"/>
      <c r="H267" s="6" t="n"/>
      <c r="I267" s="7" t="n"/>
      <c r="J267" s="8" t="n"/>
      <c r="K267" s="6" t="n"/>
      <c r="L267" s="9">
        <f>IF(OR(E267="",F267=""),"",ROUND(IF(D267="Short",E267-F267,F267-E267)*G267*H267-I267,2))</f>
        <v/>
      </c>
      <c r="M267" s="10">
        <f>IF(OR(L267="",N(J267)&lt;=0),"",L267/J267)</f>
        <v/>
      </c>
      <c r="N267" s="11">
        <f>IF(L267="","",IF(L267&gt;0,"Win",IF(L267&lt;0,"Loss","Flat")))</f>
        <v/>
      </c>
      <c r="O267" s="9">
        <f>IF(L267="","",SUM($L$2:L267))</f>
        <v/>
      </c>
      <c r="P267" s="9">
        <f>IF(L267="","",MAX(0,MAX($O$2:O267)))</f>
        <v/>
      </c>
      <c r="Q267" s="9">
        <f>IF(L267="","",P267-O267)</f>
        <v/>
      </c>
      <c r="S267">
        <f>IF(N267="Win",N(S266)+1,0)</f>
        <v/>
      </c>
      <c r="T267">
        <f>IF(N267="Loss",N(T266)+1,0)</f>
        <v/>
      </c>
    </row>
    <row r="268">
      <c r="A268" s="5" t="n"/>
      <c r="B268" s="6" t="n"/>
      <c r="C268" s="6" t="n"/>
      <c r="D268" s="6" t="n"/>
      <c r="E268" s="7" t="n"/>
      <c r="F268" s="7" t="n"/>
      <c r="G268" s="6" t="n"/>
      <c r="H268" s="6" t="n"/>
      <c r="I268" s="7" t="n"/>
      <c r="J268" s="8" t="n"/>
      <c r="K268" s="6" t="n"/>
      <c r="L268" s="9">
        <f>IF(OR(E268="",F268=""),"",ROUND(IF(D268="Short",E268-F268,F268-E268)*G268*H268-I268,2))</f>
        <v/>
      </c>
      <c r="M268" s="10">
        <f>IF(OR(L268="",N(J268)&lt;=0),"",L268/J268)</f>
        <v/>
      </c>
      <c r="N268" s="11">
        <f>IF(L268="","",IF(L268&gt;0,"Win",IF(L268&lt;0,"Loss","Flat")))</f>
        <v/>
      </c>
      <c r="O268" s="9">
        <f>IF(L268="","",SUM($L$2:L268))</f>
        <v/>
      </c>
      <c r="P268" s="9">
        <f>IF(L268="","",MAX(0,MAX($O$2:O268)))</f>
        <v/>
      </c>
      <c r="Q268" s="9">
        <f>IF(L268="","",P268-O268)</f>
        <v/>
      </c>
      <c r="S268">
        <f>IF(N268="Win",N(S267)+1,0)</f>
        <v/>
      </c>
      <c r="T268">
        <f>IF(N268="Loss",N(T267)+1,0)</f>
        <v/>
      </c>
    </row>
    <row r="269">
      <c r="A269" s="5" t="n"/>
      <c r="B269" s="6" t="n"/>
      <c r="C269" s="6" t="n"/>
      <c r="D269" s="6" t="n"/>
      <c r="E269" s="7" t="n"/>
      <c r="F269" s="7" t="n"/>
      <c r="G269" s="6" t="n"/>
      <c r="H269" s="6" t="n"/>
      <c r="I269" s="7" t="n"/>
      <c r="J269" s="8" t="n"/>
      <c r="K269" s="6" t="n"/>
      <c r="L269" s="9">
        <f>IF(OR(E269="",F269=""),"",ROUND(IF(D269="Short",E269-F269,F269-E269)*G269*H269-I269,2))</f>
        <v/>
      </c>
      <c r="M269" s="10">
        <f>IF(OR(L269="",N(J269)&lt;=0),"",L269/J269)</f>
        <v/>
      </c>
      <c r="N269" s="11">
        <f>IF(L269="","",IF(L269&gt;0,"Win",IF(L269&lt;0,"Loss","Flat")))</f>
        <v/>
      </c>
      <c r="O269" s="9">
        <f>IF(L269="","",SUM($L$2:L269))</f>
        <v/>
      </c>
      <c r="P269" s="9">
        <f>IF(L269="","",MAX(0,MAX($O$2:O269)))</f>
        <v/>
      </c>
      <c r="Q269" s="9">
        <f>IF(L269="","",P269-O269)</f>
        <v/>
      </c>
      <c r="S269">
        <f>IF(N269="Win",N(S268)+1,0)</f>
        <v/>
      </c>
      <c r="T269">
        <f>IF(N269="Loss",N(T268)+1,0)</f>
        <v/>
      </c>
    </row>
    <row r="270">
      <c r="A270" s="5" t="n"/>
      <c r="B270" s="6" t="n"/>
      <c r="C270" s="6" t="n"/>
      <c r="D270" s="6" t="n"/>
      <c r="E270" s="7" t="n"/>
      <c r="F270" s="7" t="n"/>
      <c r="G270" s="6" t="n"/>
      <c r="H270" s="6" t="n"/>
      <c r="I270" s="7" t="n"/>
      <c r="J270" s="8" t="n"/>
      <c r="K270" s="6" t="n"/>
      <c r="L270" s="9">
        <f>IF(OR(E270="",F270=""),"",ROUND(IF(D270="Short",E270-F270,F270-E270)*G270*H270-I270,2))</f>
        <v/>
      </c>
      <c r="M270" s="10">
        <f>IF(OR(L270="",N(J270)&lt;=0),"",L270/J270)</f>
        <v/>
      </c>
      <c r="N270" s="11">
        <f>IF(L270="","",IF(L270&gt;0,"Win",IF(L270&lt;0,"Loss","Flat")))</f>
        <v/>
      </c>
      <c r="O270" s="9">
        <f>IF(L270="","",SUM($L$2:L270))</f>
        <v/>
      </c>
      <c r="P270" s="9">
        <f>IF(L270="","",MAX(0,MAX($O$2:O270)))</f>
        <v/>
      </c>
      <c r="Q270" s="9">
        <f>IF(L270="","",P270-O270)</f>
        <v/>
      </c>
      <c r="S270">
        <f>IF(N270="Win",N(S269)+1,0)</f>
        <v/>
      </c>
      <c r="T270">
        <f>IF(N270="Loss",N(T269)+1,0)</f>
        <v/>
      </c>
    </row>
    <row r="271">
      <c r="A271" s="5" t="n"/>
      <c r="B271" s="6" t="n"/>
      <c r="C271" s="6" t="n"/>
      <c r="D271" s="6" t="n"/>
      <c r="E271" s="7" t="n"/>
      <c r="F271" s="7" t="n"/>
      <c r="G271" s="6" t="n"/>
      <c r="H271" s="6" t="n"/>
      <c r="I271" s="7" t="n"/>
      <c r="J271" s="8" t="n"/>
      <c r="K271" s="6" t="n"/>
      <c r="L271" s="9">
        <f>IF(OR(E271="",F271=""),"",ROUND(IF(D271="Short",E271-F271,F271-E271)*G271*H271-I271,2))</f>
        <v/>
      </c>
      <c r="M271" s="10">
        <f>IF(OR(L271="",N(J271)&lt;=0),"",L271/J271)</f>
        <v/>
      </c>
      <c r="N271" s="11">
        <f>IF(L271="","",IF(L271&gt;0,"Win",IF(L271&lt;0,"Loss","Flat")))</f>
        <v/>
      </c>
      <c r="O271" s="9">
        <f>IF(L271="","",SUM($L$2:L271))</f>
        <v/>
      </c>
      <c r="P271" s="9">
        <f>IF(L271="","",MAX(0,MAX($O$2:O271)))</f>
        <v/>
      </c>
      <c r="Q271" s="9">
        <f>IF(L271="","",P271-O271)</f>
        <v/>
      </c>
      <c r="S271">
        <f>IF(N271="Win",N(S270)+1,0)</f>
        <v/>
      </c>
      <c r="T271">
        <f>IF(N271="Loss",N(T270)+1,0)</f>
        <v/>
      </c>
    </row>
    <row r="272">
      <c r="A272" s="5" t="n"/>
      <c r="B272" s="6" t="n"/>
      <c r="C272" s="6" t="n"/>
      <c r="D272" s="6" t="n"/>
      <c r="E272" s="7" t="n"/>
      <c r="F272" s="7" t="n"/>
      <c r="G272" s="6" t="n"/>
      <c r="H272" s="6" t="n"/>
      <c r="I272" s="7" t="n"/>
      <c r="J272" s="8" t="n"/>
      <c r="K272" s="6" t="n"/>
      <c r="L272" s="9">
        <f>IF(OR(E272="",F272=""),"",ROUND(IF(D272="Short",E272-F272,F272-E272)*G272*H272-I272,2))</f>
        <v/>
      </c>
      <c r="M272" s="10">
        <f>IF(OR(L272="",N(J272)&lt;=0),"",L272/J272)</f>
        <v/>
      </c>
      <c r="N272" s="11">
        <f>IF(L272="","",IF(L272&gt;0,"Win",IF(L272&lt;0,"Loss","Flat")))</f>
        <v/>
      </c>
      <c r="O272" s="9">
        <f>IF(L272="","",SUM($L$2:L272))</f>
        <v/>
      </c>
      <c r="P272" s="9">
        <f>IF(L272="","",MAX(0,MAX($O$2:O272)))</f>
        <v/>
      </c>
      <c r="Q272" s="9">
        <f>IF(L272="","",P272-O272)</f>
        <v/>
      </c>
      <c r="S272">
        <f>IF(N272="Win",N(S271)+1,0)</f>
        <v/>
      </c>
      <c r="T272">
        <f>IF(N272="Loss",N(T271)+1,0)</f>
        <v/>
      </c>
    </row>
    <row r="273">
      <c r="A273" s="5" t="n"/>
      <c r="B273" s="6" t="n"/>
      <c r="C273" s="6" t="n"/>
      <c r="D273" s="6" t="n"/>
      <c r="E273" s="7" t="n"/>
      <c r="F273" s="7" t="n"/>
      <c r="G273" s="6" t="n"/>
      <c r="H273" s="6" t="n"/>
      <c r="I273" s="7" t="n"/>
      <c r="J273" s="8" t="n"/>
      <c r="K273" s="6" t="n"/>
      <c r="L273" s="9">
        <f>IF(OR(E273="",F273=""),"",ROUND(IF(D273="Short",E273-F273,F273-E273)*G273*H273-I273,2))</f>
        <v/>
      </c>
      <c r="M273" s="10">
        <f>IF(OR(L273="",N(J273)&lt;=0),"",L273/J273)</f>
        <v/>
      </c>
      <c r="N273" s="11">
        <f>IF(L273="","",IF(L273&gt;0,"Win",IF(L273&lt;0,"Loss","Flat")))</f>
        <v/>
      </c>
      <c r="O273" s="9">
        <f>IF(L273="","",SUM($L$2:L273))</f>
        <v/>
      </c>
      <c r="P273" s="9">
        <f>IF(L273="","",MAX(0,MAX($O$2:O273)))</f>
        <v/>
      </c>
      <c r="Q273" s="9">
        <f>IF(L273="","",P273-O273)</f>
        <v/>
      </c>
      <c r="S273">
        <f>IF(N273="Win",N(S272)+1,0)</f>
        <v/>
      </c>
      <c r="T273">
        <f>IF(N273="Loss",N(T272)+1,0)</f>
        <v/>
      </c>
    </row>
    <row r="274">
      <c r="A274" s="5" t="n"/>
      <c r="B274" s="6" t="n"/>
      <c r="C274" s="6" t="n"/>
      <c r="D274" s="6" t="n"/>
      <c r="E274" s="7" t="n"/>
      <c r="F274" s="7" t="n"/>
      <c r="G274" s="6" t="n"/>
      <c r="H274" s="6" t="n"/>
      <c r="I274" s="7" t="n"/>
      <c r="J274" s="8" t="n"/>
      <c r="K274" s="6" t="n"/>
      <c r="L274" s="9">
        <f>IF(OR(E274="",F274=""),"",ROUND(IF(D274="Short",E274-F274,F274-E274)*G274*H274-I274,2))</f>
        <v/>
      </c>
      <c r="M274" s="10">
        <f>IF(OR(L274="",N(J274)&lt;=0),"",L274/J274)</f>
        <v/>
      </c>
      <c r="N274" s="11">
        <f>IF(L274="","",IF(L274&gt;0,"Win",IF(L274&lt;0,"Loss","Flat")))</f>
        <v/>
      </c>
      <c r="O274" s="9">
        <f>IF(L274="","",SUM($L$2:L274))</f>
        <v/>
      </c>
      <c r="P274" s="9">
        <f>IF(L274="","",MAX(0,MAX($O$2:O274)))</f>
        <v/>
      </c>
      <c r="Q274" s="9">
        <f>IF(L274="","",P274-O274)</f>
        <v/>
      </c>
      <c r="S274">
        <f>IF(N274="Win",N(S273)+1,0)</f>
        <v/>
      </c>
      <c r="T274">
        <f>IF(N274="Loss",N(T273)+1,0)</f>
        <v/>
      </c>
    </row>
    <row r="275">
      <c r="A275" s="5" t="n"/>
      <c r="B275" s="6" t="n"/>
      <c r="C275" s="6" t="n"/>
      <c r="D275" s="6" t="n"/>
      <c r="E275" s="7" t="n"/>
      <c r="F275" s="7" t="n"/>
      <c r="G275" s="6" t="n"/>
      <c r="H275" s="6" t="n"/>
      <c r="I275" s="7" t="n"/>
      <c r="J275" s="8" t="n"/>
      <c r="K275" s="6" t="n"/>
      <c r="L275" s="9">
        <f>IF(OR(E275="",F275=""),"",ROUND(IF(D275="Short",E275-F275,F275-E275)*G275*H275-I275,2))</f>
        <v/>
      </c>
      <c r="M275" s="10">
        <f>IF(OR(L275="",N(J275)&lt;=0),"",L275/J275)</f>
        <v/>
      </c>
      <c r="N275" s="11">
        <f>IF(L275="","",IF(L275&gt;0,"Win",IF(L275&lt;0,"Loss","Flat")))</f>
        <v/>
      </c>
      <c r="O275" s="9">
        <f>IF(L275="","",SUM($L$2:L275))</f>
        <v/>
      </c>
      <c r="P275" s="9">
        <f>IF(L275="","",MAX(0,MAX($O$2:O275)))</f>
        <v/>
      </c>
      <c r="Q275" s="9">
        <f>IF(L275="","",P275-O275)</f>
        <v/>
      </c>
      <c r="S275">
        <f>IF(N275="Win",N(S274)+1,0)</f>
        <v/>
      </c>
      <c r="T275">
        <f>IF(N275="Loss",N(T274)+1,0)</f>
        <v/>
      </c>
    </row>
    <row r="276">
      <c r="A276" s="5" t="n"/>
      <c r="B276" s="6" t="n"/>
      <c r="C276" s="6" t="n"/>
      <c r="D276" s="6" t="n"/>
      <c r="E276" s="7" t="n"/>
      <c r="F276" s="7" t="n"/>
      <c r="G276" s="6" t="n"/>
      <c r="H276" s="6" t="n"/>
      <c r="I276" s="7" t="n"/>
      <c r="J276" s="8" t="n"/>
      <c r="K276" s="6" t="n"/>
      <c r="L276" s="9">
        <f>IF(OR(E276="",F276=""),"",ROUND(IF(D276="Short",E276-F276,F276-E276)*G276*H276-I276,2))</f>
        <v/>
      </c>
      <c r="M276" s="10">
        <f>IF(OR(L276="",N(J276)&lt;=0),"",L276/J276)</f>
        <v/>
      </c>
      <c r="N276" s="11">
        <f>IF(L276="","",IF(L276&gt;0,"Win",IF(L276&lt;0,"Loss","Flat")))</f>
        <v/>
      </c>
      <c r="O276" s="9">
        <f>IF(L276="","",SUM($L$2:L276))</f>
        <v/>
      </c>
      <c r="P276" s="9">
        <f>IF(L276="","",MAX(0,MAX($O$2:O276)))</f>
        <v/>
      </c>
      <c r="Q276" s="9">
        <f>IF(L276="","",P276-O276)</f>
        <v/>
      </c>
      <c r="S276">
        <f>IF(N276="Win",N(S275)+1,0)</f>
        <v/>
      </c>
      <c r="T276">
        <f>IF(N276="Loss",N(T275)+1,0)</f>
        <v/>
      </c>
    </row>
    <row r="277">
      <c r="A277" s="5" t="n"/>
      <c r="B277" s="6" t="n"/>
      <c r="C277" s="6" t="n"/>
      <c r="D277" s="6" t="n"/>
      <c r="E277" s="7" t="n"/>
      <c r="F277" s="7" t="n"/>
      <c r="G277" s="6" t="n"/>
      <c r="H277" s="6" t="n"/>
      <c r="I277" s="7" t="n"/>
      <c r="J277" s="8" t="n"/>
      <c r="K277" s="6" t="n"/>
      <c r="L277" s="9">
        <f>IF(OR(E277="",F277=""),"",ROUND(IF(D277="Short",E277-F277,F277-E277)*G277*H277-I277,2))</f>
        <v/>
      </c>
      <c r="M277" s="10">
        <f>IF(OR(L277="",N(J277)&lt;=0),"",L277/J277)</f>
        <v/>
      </c>
      <c r="N277" s="11">
        <f>IF(L277="","",IF(L277&gt;0,"Win",IF(L277&lt;0,"Loss","Flat")))</f>
        <v/>
      </c>
      <c r="O277" s="9">
        <f>IF(L277="","",SUM($L$2:L277))</f>
        <v/>
      </c>
      <c r="P277" s="9">
        <f>IF(L277="","",MAX(0,MAX($O$2:O277)))</f>
        <v/>
      </c>
      <c r="Q277" s="9">
        <f>IF(L277="","",P277-O277)</f>
        <v/>
      </c>
      <c r="S277">
        <f>IF(N277="Win",N(S276)+1,0)</f>
        <v/>
      </c>
      <c r="T277">
        <f>IF(N277="Loss",N(T276)+1,0)</f>
        <v/>
      </c>
    </row>
    <row r="278">
      <c r="A278" s="5" t="n"/>
      <c r="B278" s="6" t="n"/>
      <c r="C278" s="6" t="n"/>
      <c r="D278" s="6" t="n"/>
      <c r="E278" s="7" t="n"/>
      <c r="F278" s="7" t="n"/>
      <c r="G278" s="6" t="n"/>
      <c r="H278" s="6" t="n"/>
      <c r="I278" s="7" t="n"/>
      <c r="J278" s="8" t="n"/>
      <c r="K278" s="6" t="n"/>
      <c r="L278" s="9">
        <f>IF(OR(E278="",F278=""),"",ROUND(IF(D278="Short",E278-F278,F278-E278)*G278*H278-I278,2))</f>
        <v/>
      </c>
      <c r="M278" s="10">
        <f>IF(OR(L278="",N(J278)&lt;=0),"",L278/J278)</f>
        <v/>
      </c>
      <c r="N278" s="11">
        <f>IF(L278="","",IF(L278&gt;0,"Win",IF(L278&lt;0,"Loss","Flat")))</f>
        <v/>
      </c>
      <c r="O278" s="9">
        <f>IF(L278="","",SUM($L$2:L278))</f>
        <v/>
      </c>
      <c r="P278" s="9">
        <f>IF(L278="","",MAX(0,MAX($O$2:O278)))</f>
        <v/>
      </c>
      <c r="Q278" s="9">
        <f>IF(L278="","",P278-O278)</f>
        <v/>
      </c>
      <c r="S278">
        <f>IF(N278="Win",N(S277)+1,0)</f>
        <v/>
      </c>
      <c r="T278">
        <f>IF(N278="Loss",N(T277)+1,0)</f>
        <v/>
      </c>
    </row>
    <row r="279">
      <c r="A279" s="5" t="n"/>
      <c r="B279" s="6" t="n"/>
      <c r="C279" s="6" t="n"/>
      <c r="D279" s="6" t="n"/>
      <c r="E279" s="7" t="n"/>
      <c r="F279" s="7" t="n"/>
      <c r="G279" s="6" t="n"/>
      <c r="H279" s="6" t="n"/>
      <c r="I279" s="7" t="n"/>
      <c r="J279" s="8" t="n"/>
      <c r="K279" s="6" t="n"/>
      <c r="L279" s="9">
        <f>IF(OR(E279="",F279=""),"",ROUND(IF(D279="Short",E279-F279,F279-E279)*G279*H279-I279,2))</f>
        <v/>
      </c>
      <c r="M279" s="10">
        <f>IF(OR(L279="",N(J279)&lt;=0),"",L279/J279)</f>
        <v/>
      </c>
      <c r="N279" s="11">
        <f>IF(L279="","",IF(L279&gt;0,"Win",IF(L279&lt;0,"Loss","Flat")))</f>
        <v/>
      </c>
      <c r="O279" s="9">
        <f>IF(L279="","",SUM($L$2:L279))</f>
        <v/>
      </c>
      <c r="P279" s="9">
        <f>IF(L279="","",MAX(0,MAX($O$2:O279)))</f>
        <v/>
      </c>
      <c r="Q279" s="9">
        <f>IF(L279="","",P279-O279)</f>
        <v/>
      </c>
      <c r="S279">
        <f>IF(N279="Win",N(S278)+1,0)</f>
        <v/>
      </c>
      <c r="T279">
        <f>IF(N279="Loss",N(T278)+1,0)</f>
        <v/>
      </c>
    </row>
    <row r="280">
      <c r="A280" s="5" t="n"/>
      <c r="B280" s="6" t="n"/>
      <c r="C280" s="6" t="n"/>
      <c r="D280" s="6" t="n"/>
      <c r="E280" s="7" t="n"/>
      <c r="F280" s="7" t="n"/>
      <c r="G280" s="6" t="n"/>
      <c r="H280" s="6" t="n"/>
      <c r="I280" s="7" t="n"/>
      <c r="J280" s="8" t="n"/>
      <c r="K280" s="6" t="n"/>
      <c r="L280" s="9">
        <f>IF(OR(E280="",F280=""),"",ROUND(IF(D280="Short",E280-F280,F280-E280)*G280*H280-I280,2))</f>
        <v/>
      </c>
      <c r="M280" s="10">
        <f>IF(OR(L280="",N(J280)&lt;=0),"",L280/J280)</f>
        <v/>
      </c>
      <c r="N280" s="11">
        <f>IF(L280="","",IF(L280&gt;0,"Win",IF(L280&lt;0,"Loss","Flat")))</f>
        <v/>
      </c>
      <c r="O280" s="9">
        <f>IF(L280="","",SUM($L$2:L280))</f>
        <v/>
      </c>
      <c r="P280" s="9">
        <f>IF(L280="","",MAX(0,MAX($O$2:O280)))</f>
        <v/>
      </c>
      <c r="Q280" s="9">
        <f>IF(L280="","",P280-O280)</f>
        <v/>
      </c>
      <c r="S280">
        <f>IF(N280="Win",N(S279)+1,0)</f>
        <v/>
      </c>
      <c r="T280">
        <f>IF(N280="Loss",N(T279)+1,0)</f>
        <v/>
      </c>
    </row>
    <row r="281">
      <c r="A281" s="5" t="n"/>
      <c r="B281" s="6" t="n"/>
      <c r="C281" s="6" t="n"/>
      <c r="D281" s="6" t="n"/>
      <c r="E281" s="7" t="n"/>
      <c r="F281" s="7" t="n"/>
      <c r="G281" s="6" t="n"/>
      <c r="H281" s="6" t="n"/>
      <c r="I281" s="7" t="n"/>
      <c r="J281" s="8" t="n"/>
      <c r="K281" s="6" t="n"/>
      <c r="L281" s="9">
        <f>IF(OR(E281="",F281=""),"",ROUND(IF(D281="Short",E281-F281,F281-E281)*G281*H281-I281,2))</f>
        <v/>
      </c>
      <c r="M281" s="10">
        <f>IF(OR(L281="",N(J281)&lt;=0),"",L281/J281)</f>
        <v/>
      </c>
      <c r="N281" s="11">
        <f>IF(L281="","",IF(L281&gt;0,"Win",IF(L281&lt;0,"Loss","Flat")))</f>
        <v/>
      </c>
      <c r="O281" s="9">
        <f>IF(L281="","",SUM($L$2:L281))</f>
        <v/>
      </c>
      <c r="P281" s="9">
        <f>IF(L281="","",MAX(0,MAX($O$2:O281)))</f>
        <v/>
      </c>
      <c r="Q281" s="9">
        <f>IF(L281="","",P281-O281)</f>
        <v/>
      </c>
      <c r="S281">
        <f>IF(N281="Win",N(S280)+1,0)</f>
        <v/>
      </c>
      <c r="T281">
        <f>IF(N281="Loss",N(T280)+1,0)</f>
        <v/>
      </c>
    </row>
    <row r="282">
      <c r="A282" s="5" t="n"/>
      <c r="B282" s="6" t="n"/>
      <c r="C282" s="6" t="n"/>
      <c r="D282" s="6" t="n"/>
      <c r="E282" s="7" t="n"/>
      <c r="F282" s="7" t="n"/>
      <c r="G282" s="6" t="n"/>
      <c r="H282" s="6" t="n"/>
      <c r="I282" s="7" t="n"/>
      <c r="J282" s="8" t="n"/>
      <c r="K282" s="6" t="n"/>
      <c r="L282" s="9">
        <f>IF(OR(E282="",F282=""),"",ROUND(IF(D282="Short",E282-F282,F282-E282)*G282*H282-I282,2))</f>
        <v/>
      </c>
      <c r="M282" s="10">
        <f>IF(OR(L282="",N(J282)&lt;=0),"",L282/J282)</f>
        <v/>
      </c>
      <c r="N282" s="11">
        <f>IF(L282="","",IF(L282&gt;0,"Win",IF(L282&lt;0,"Loss","Flat")))</f>
        <v/>
      </c>
      <c r="O282" s="9">
        <f>IF(L282="","",SUM($L$2:L282))</f>
        <v/>
      </c>
      <c r="P282" s="9">
        <f>IF(L282="","",MAX(0,MAX($O$2:O282)))</f>
        <v/>
      </c>
      <c r="Q282" s="9">
        <f>IF(L282="","",P282-O282)</f>
        <v/>
      </c>
      <c r="S282">
        <f>IF(N282="Win",N(S281)+1,0)</f>
        <v/>
      </c>
      <c r="T282">
        <f>IF(N282="Loss",N(T281)+1,0)</f>
        <v/>
      </c>
    </row>
    <row r="283">
      <c r="A283" s="5" t="n"/>
      <c r="B283" s="6" t="n"/>
      <c r="C283" s="6" t="n"/>
      <c r="D283" s="6" t="n"/>
      <c r="E283" s="7" t="n"/>
      <c r="F283" s="7" t="n"/>
      <c r="G283" s="6" t="n"/>
      <c r="H283" s="6" t="n"/>
      <c r="I283" s="7" t="n"/>
      <c r="J283" s="8" t="n"/>
      <c r="K283" s="6" t="n"/>
      <c r="L283" s="9">
        <f>IF(OR(E283="",F283=""),"",ROUND(IF(D283="Short",E283-F283,F283-E283)*G283*H283-I283,2))</f>
        <v/>
      </c>
      <c r="M283" s="10">
        <f>IF(OR(L283="",N(J283)&lt;=0),"",L283/J283)</f>
        <v/>
      </c>
      <c r="N283" s="11">
        <f>IF(L283="","",IF(L283&gt;0,"Win",IF(L283&lt;0,"Loss","Flat")))</f>
        <v/>
      </c>
      <c r="O283" s="9">
        <f>IF(L283="","",SUM($L$2:L283))</f>
        <v/>
      </c>
      <c r="P283" s="9">
        <f>IF(L283="","",MAX(0,MAX($O$2:O283)))</f>
        <v/>
      </c>
      <c r="Q283" s="9">
        <f>IF(L283="","",P283-O283)</f>
        <v/>
      </c>
      <c r="S283">
        <f>IF(N283="Win",N(S282)+1,0)</f>
        <v/>
      </c>
      <c r="T283">
        <f>IF(N283="Loss",N(T282)+1,0)</f>
        <v/>
      </c>
    </row>
    <row r="284">
      <c r="A284" s="5" t="n"/>
      <c r="B284" s="6" t="n"/>
      <c r="C284" s="6" t="n"/>
      <c r="D284" s="6" t="n"/>
      <c r="E284" s="7" t="n"/>
      <c r="F284" s="7" t="n"/>
      <c r="G284" s="6" t="n"/>
      <c r="H284" s="6" t="n"/>
      <c r="I284" s="7" t="n"/>
      <c r="J284" s="8" t="n"/>
      <c r="K284" s="6" t="n"/>
      <c r="L284" s="9">
        <f>IF(OR(E284="",F284=""),"",ROUND(IF(D284="Short",E284-F284,F284-E284)*G284*H284-I284,2))</f>
        <v/>
      </c>
      <c r="M284" s="10">
        <f>IF(OR(L284="",N(J284)&lt;=0),"",L284/J284)</f>
        <v/>
      </c>
      <c r="N284" s="11">
        <f>IF(L284="","",IF(L284&gt;0,"Win",IF(L284&lt;0,"Loss","Flat")))</f>
        <v/>
      </c>
      <c r="O284" s="9">
        <f>IF(L284="","",SUM($L$2:L284))</f>
        <v/>
      </c>
      <c r="P284" s="9">
        <f>IF(L284="","",MAX(0,MAX($O$2:O284)))</f>
        <v/>
      </c>
      <c r="Q284" s="9">
        <f>IF(L284="","",P284-O284)</f>
        <v/>
      </c>
      <c r="S284">
        <f>IF(N284="Win",N(S283)+1,0)</f>
        <v/>
      </c>
      <c r="T284">
        <f>IF(N284="Loss",N(T283)+1,0)</f>
        <v/>
      </c>
    </row>
    <row r="285">
      <c r="A285" s="5" t="n"/>
      <c r="B285" s="6" t="n"/>
      <c r="C285" s="6" t="n"/>
      <c r="D285" s="6" t="n"/>
      <c r="E285" s="7" t="n"/>
      <c r="F285" s="7" t="n"/>
      <c r="G285" s="6" t="n"/>
      <c r="H285" s="6" t="n"/>
      <c r="I285" s="7" t="n"/>
      <c r="J285" s="8" t="n"/>
      <c r="K285" s="6" t="n"/>
      <c r="L285" s="9">
        <f>IF(OR(E285="",F285=""),"",ROUND(IF(D285="Short",E285-F285,F285-E285)*G285*H285-I285,2))</f>
        <v/>
      </c>
      <c r="M285" s="10">
        <f>IF(OR(L285="",N(J285)&lt;=0),"",L285/J285)</f>
        <v/>
      </c>
      <c r="N285" s="11">
        <f>IF(L285="","",IF(L285&gt;0,"Win",IF(L285&lt;0,"Loss","Flat")))</f>
        <v/>
      </c>
      <c r="O285" s="9">
        <f>IF(L285="","",SUM($L$2:L285))</f>
        <v/>
      </c>
      <c r="P285" s="9">
        <f>IF(L285="","",MAX(0,MAX($O$2:O285)))</f>
        <v/>
      </c>
      <c r="Q285" s="9">
        <f>IF(L285="","",P285-O285)</f>
        <v/>
      </c>
      <c r="S285">
        <f>IF(N285="Win",N(S284)+1,0)</f>
        <v/>
      </c>
      <c r="T285">
        <f>IF(N285="Loss",N(T284)+1,0)</f>
        <v/>
      </c>
    </row>
    <row r="286">
      <c r="A286" s="5" t="n"/>
      <c r="B286" s="6" t="n"/>
      <c r="C286" s="6" t="n"/>
      <c r="D286" s="6" t="n"/>
      <c r="E286" s="7" t="n"/>
      <c r="F286" s="7" t="n"/>
      <c r="G286" s="6" t="n"/>
      <c r="H286" s="6" t="n"/>
      <c r="I286" s="7" t="n"/>
      <c r="J286" s="8" t="n"/>
      <c r="K286" s="6" t="n"/>
      <c r="L286" s="9">
        <f>IF(OR(E286="",F286=""),"",ROUND(IF(D286="Short",E286-F286,F286-E286)*G286*H286-I286,2))</f>
        <v/>
      </c>
      <c r="M286" s="10">
        <f>IF(OR(L286="",N(J286)&lt;=0),"",L286/J286)</f>
        <v/>
      </c>
      <c r="N286" s="11">
        <f>IF(L286="","",IF(L286&gt;0,"Win",IF(L286&lt;0,"Loss","Flat")))</f>
        <v/>
      </c>
      <c r="O286" s="9">
        <f>IF(L286="","",SUM($L$2:L286))</f>
        <v/>
      </c>
      <c r="P286" s="9">
        <f>IF(L286="","",MAX(0,MAX($O$2:O286)))</f>
        <v/>
      </c>
      <c r="Q286" s="9">
        <f>IF(L286="","",P286-O286)</f>
        <v/>
      </c>
      <c r="S286">
        <f>IF(N286="Win",N(S285)+1,0)</f>
        <v/>
      </c>
      <c r="T286">
        <f>IF(N286="Loss",N(T285)+1,0)</f>
        <v/>
      </c>
    </row>
    <row r="287">
      <c r="A287" s="5" t="n"/>
      <c r="B287" s="6" t="n"/>
      <c r="C287" s="6" t="n"/>
      <c r="D287" s="6" t="n"/>
      <c r="E287" s="7" t="n"/>
      <c r="F287" s="7" t="n"/>
      <c r="G287" s="6" t="n"/>
      <c r="H287" s="6" t="n"/>
      <c r="I287" s="7" t="n"/>
      <c r="J287" s="8" t="n"/>
      <c r="K287" s="6" t="n"/>
      <c r="L287" s="9">
        <f>IF(OR(E287="",F287=""),"",ROUND(IF(D287="Short",E287-F287,F287-E287)*G287*H287-I287,2))</f>
        <v/>
      </c>
      <c r="M287" s="10">
        <f>IF(OR(L287="",N(J287)&lt;=0),"",L287/J287)</f>
        <v/>
      </c>
      <c r="N287" s="11">
        <f>IF(L287="","",IF(L287&gt;0,"Win",IF(L287&lt;0,"Loss","Flat")))</f>
        <v/>
      </c>
      <c r="O287" s="9">
        <f>IF(L287="","",SUM($L$2:L287))</f>
        <v/>
      </c>
      <c r="P287" s="9">
        <f>IF(L287="","",MAX(0,MAX($O$2:O287)))</f>
        <v/>
      </c>
      <c r="Q287" s="9">
        <f>IF(L287="","",P287-O287)</f>
        <v/>
      </c>
      <c r="S287">
        <f>IF(N287="Win",N(S286)+1,0)</f>
        <v/>
      </c>
      <c r="T287">
        <f>IF(N287="Loss",N(T286)+1,0)</f>
        <v/>
      </c>
    </row>
    <row r="288">
      <c r="A288" s="5" t="n"/>
      <c r="B288" s="6" t="n"/>
      <c r="C288" s="6" t="n"/>
      <c r="D288" s="6" t="n"/>
      <c r="E288" s="7" t="n"/>
      <c r="F288" s="7" t="n"/>
      <c r="G288" s="6" t="n"/>
      <c r="H288" s="6" t="n"/>
      <c r="I288" s="7" t="n"/>
      <c r="J288" s="8" t="n"/>
      <c r="K288" s="6" t="n"/>
      <c r="L288" s="9">
        <f>IF(OR(E288="",F288=""),"",ROUND(IF(D288="Short",E288-F288,F288-E288)*G288*H288-I288,2))</f>
        <v/>
      </c>
      <c r="M288" s="10">
        <f>IF(OR(L288="",N(J288)&lt;=0),"",L288/J288)</f>
        <v/>
      </c>
      <c r="N288" s="11">
        <f>IF(L288="","",IF(L288&gt;0,"Win",IF(L288&lt;0,"Loss","Flat")))</f>
        <v/>
      </c>
      <c r="O288" s="9">
        <f>IF(L288="","",SUM($L$2:L288))</f>
        <v/>
      </c>
      <c r="P288" s="9">
        <f>IF(L288="","",MAX(0,MAX($O$2:O288)))</f>
        <v/>
      </c>
      <c r="Q288" s="9">
        <f>IF(L288="","",P288-O288)</f>
        <v/>
      </c>
      <c r="S288">
        <f>IF(N288="Win",N(S287)+1,0)</f>
        <v/>
      </c>
      <c r="T288">
        <f>IF(N288="Loss",N(T287)+1,0)</f>
        <v/>
      </c>
    </row>
    <row r="289">
      <c r="A289" s="5" t="n"/>
      <c r="B289" s="6" t="n"/>
      <c r="C289" s="6" t="n"/>
      <c r="D289" s="6" t="n"/>
      <c r="E289" s="7" t="n"/>
      <c r="F289" s="7" t="n"/>
      <c r="G289" s="6" t="n"/>
      <c r="H289" s="6" t="n"/>
      <c r="I289" s="7" t="n"/>
      <c r="J289" s="8" t="n"/>
      <c r="K289" s="6" t="n"/>
      <c r="L289" s="9">
        <f>IF(OR(E289="",F289=""),"",ROUND(IF(D289="Short",E289-F289,F289-E289)*G289*H289-I289,2))</f>
        <v/>
      </c>
      <c r="M289" s="10">
        <f>IF(OR(L289="",N(J289)&lt;=0),"",L289/J289)</f>
        <v/>
      </c>
      <c r="N289" s="11">
        <f>IF(L289="","",IF(L289&gt;0,"Win",IF(L289&lt;0,"Loss","Flat")))</f>
        <v/>
      </c>
      <c r="O289" s="9">
        <f>IF(L289="","",SUM($L$2:L289))</f>
        <v/>
      </c>
      <c r="P289" s="9">
        <f>IF(L289="","",MAX(0,MAX($O$2:O289)))</f>
        <v/>
      </c>
      <c r="Q289" s="9">
        <f>IF(L289="","",P289-O289)</f>
        <v/>
      </c>
      <c r="S289">
        <f>IF(N289="Win",N(S288)+1,0)</f>
        <v/>
      </c>
      <c r="T289">
        <f>IF(N289="Loss",N(T288)+1,0)</f>
        <v/>
      </c>
    </row>
    <row r="290">
      <c r="A290" s="5" t="n"/>
      <c r="B290" s="6" t="n"/>
      <c r="C290" s="6" t="n"/>
      <c r="D290" s="6" t="n"/>
      <c r="E290" s="7" t="n"/>
      <c r="F290" s="7" t="n"/>
      <c r="G290" s="6" t="n"/>
      <c r="H290" s="6" t="n"/>
      <c r="I290" s="7" t="n"/>
      <c r="J290" s="8" t="n"/>
      <c r="K290" s="6" t="n"/>
      <c r="L290" s="9">
        <f>IF(OR(E290="",F290=""),"",ROUND(IF(D290="Short",E290-F290,F290-E290)*G290*H290-I290,2))</f>
        <v/>
      </c>
      <c r="M290" s="10">
        <f>IF(OR(L290="",N(J290)&lt;=0),"",L290/J290)</f>
        <v/>
      </c>
      <c r="N290" s="11">
        <f>IF(L290="","",IF(L290&gt;0,"Win",IF(L290&lt;0,"Loss","Flat")))</f>
        <v/>
      </c>
      <c r="O290" s="9">
        <f>IF(L290="","",SUM($L$2:L290))</f>
        <v/>
      </c>
      <c r="P290" s="9">
        <f>IF(L290="","",MAX(0,MAX($O$2:O290)))</f>
        <v/>
      </c>
      <c r="Q290" s="9">
        <f>IF(L290="","",P290-O290)</f>
        <v/>
      </c>
      <c r="S290">
        <f>IF(N290="Win",N(S289)+1,0)</f>
        <v/>
      </c>
      <c r="T290">
        <f>IF(N290="Loss",N(T289)+1,0)</f>
        <v/>
      </c>
    </row>
    <row r="291">
      <c r="A291" s="5" t="n"/>
      <c r="B291" s="6" t="n"/>
      <c r="C291" s="6" t="n"/>
      <c r="D291" s="6" t="n"/>
      <c r="E291" s="7" t="n"/>
      <c r="F291" s="7" t="n"/>
      <c r="G291" s="6" t="n"/>
      <c r="H291" s="6" t="n"/>
      <c r="I291" s="7" t="n"/>
      <c r="J291" s="8" t="n"/>
      <c r="K291" s="6" t="n"/>
      <c r="L291" s="9">
        <f>IF(OR(E291="",F291=""),"",ROUND(IF(D291="Short",E291-F291,F291-E291)*G291*H291-I291,2))</f>
        <v/>
      </c>
      <c r="M291" s="10">
        <f>IF(OR(L291="",N(J291)&lt;=0),"",L291/J291)</f>
        <v/>
      </c>
      <c r="N291" s="11">
        <f>IF(L291="","",IF(L291&gt;0,"Win",IF(L291&lt;0,"Loss","Flat")))</f>
        <v/>
      </c>
      <c r="O291" s="9">
        <f>IF(L291="","",SUM($L$2:L291))</f>
        <v/>
      </c>
      <c r="P291" s="9">
        <f>IF(L291="","",MAX(0,MAX($O$2:O291)))</f>
        <v/>
      </c>
      <c r="Q291" s="9">
        <f>IF(L291="","",P291-O291)</f>
        <v/>
      </c>
      <c r="S291">
        <f>IF(N291="Win",N(S290)+1,0)</f>
        <v/>
      </c>
      <c r="T291">
        <f>IF(N291="Loss",N(T290)+1,0)</f>
        <v/>
      </c>
    </row>
    <row r="292">
      <c r="A292" s="5" t="n"/>
      <c r="B292" s="6" t="n"/>
      <c r="C292" s="6" t="n"/>
      <c r="D292" s="6" t="n"/>
      <c r="E292" s="7" t="n"/>
      <c r="F292" s="7" t="n"/>
      <c r="G292" s="6" t="n"/>
      <c r="H292" s="6" t="n"/>
      <c r="I292" s="7" t="n"/>
      <c r="J292" s="8" t="n"/>
      <c r="K292" s="6" t="n"/>
      <c r="L292" s="9">
        <f>IF(OR(E292="",F292=""),"",ROUND(IF(D292="Short",E292-F292,F292-E292)*G292*H292-I292,2))</f>
        <v/>
      </c>
      <c r="M292" s="10">
        <f>IF(OR(L292="",N(J292)&lt;=0),"",L292/J292)</f>
        <v/>
      </c>
      <c r="N292" s="11">
        <f>IF(L292="","",IF(L292&gt;0,"Win",IF(L292&lt;0,"Loss","Flat")))</f>
        <v/>
      </c>
      <c r="O292" s="9">
        <f>IF(L292="","",SUM($L$2:L292))</f>
        <v/>
      </c>
      <c r="P292" s="9">
        <f>IF(L292="","",MAX(0,MAX($O$2:O292)))</f>
        <v/>
      </c>
      <c r="Q292" s="9">
        <f>IF(L292="","",P292-O292)</f>
        <v/>
      </c>
      <c r="S292">
        <f>IF(N292="Win",N(S291)+1,0)</f>
        <v/>
      </c>
      <c r="T292">
        <f>IF(N292="Loss",N(T291)+1,0)</f>
        <v/>
      </c>
    </row>
    <row r="293">
      <c r="A293" s="5" t="n"/>
      <c r="B293" s="6" t="n"/>
      <c r="C293" s="6" t="n"/>
      <c r="D293" s="6" t="n"/>
      <c r="E293" s="7" t="n"/>
      <c r="F293" s="7" t="n"/>
      <c r="G293" s="6" t="n"/>
      <c r="H293" s="6" t="n"/>
      <c r="I293" s="7" t="n"/>
      <c r="J293" s="8" t="n"/>
      <c r="K293" s="6" t="n"/>
      <c r="L293" s="9">
        <f>IF(OR(E293="",F293=""),"",ROUND(IF(D293="Short",E293-F293,F293-E293)*G293*H293-I293,2))</f>
        <v/>
      </c>
      <c r="M293" s="10">
        <f>IF(OR(L293="",N(J293)&lt;=0),"",L293/J293)</f>
        <v/>
      </c>
      <c r="N293" s="11">
        <f>IF(L293="","",IF(L293&gt;0,"Win",IF(L293&lt;0,"Loss","Flat")))</f>
        <v/>
      </c>
      <c r="O293" s="9">
        <f>IF(L293="","",SUM($L$2:L293))</f>
        <v/>
      </c>
      <c r="P293" s="9">
        <f>IF(L293="","",MAX(0,MAX($O$2:O293)))</f>
        <v/>
      </c>
      <c r="Q293" s="9">
        <f>IF(L293="","",P293-O293)</f>
        <v/>
      </c>
      <c r="S293">
        <f>IF(N293="Win",N(S292)+1,0)</f>
        <v/>
      </c>
      <c r="T293">
        <f>IF(N293="Loss",N(T292)+1,0)</f>
        <v/>
      </c>
    </row>
    <row r="294">
      <c r="A294" s="5" t="n"/>
      <c r="B294" s="6" t="n"/>
      <c r="C294" s="6" t="n"/>
      <c r="D294" s="6" t="n"/>
      <c r="E294" s="7" t="n"/>
      <c r="F294" s="7" t="n"/>
      <c r="G294" s="6" t="n"/>
      <c r="H294" s="6" t="n"/>
      <c r="I294" s="7" t="n"/>
      <c r="J294" s="8" t="n"/>
      <c r="K294" s="6" t="n"/>
      <c r="L294" s="9">
        <f>IF(OR(E294="",F294=""),"",ROUND(IF(D294="Short",E294-F294,F294-E294)*G294*H294-I294,2))</f>
        <v/>
      </c>
      <c r="M294" s="10">
        <f>IF(OR(L294="",N(J294)&lt;=0),"",L294/J294)</f>
        <v/>
      </c>
      <c r="N294" s="11">
        <f>IF(L294="","",IF(L294&gt;0,"Win",IF(L294&lt;0,"Loss","Flat")))</f>
        <v/>
      </c>
      <c r="O294" s="9">
        <f>IF(L294="","",SUM($L$2:L294))</f>
        <v/>
      </c>
      <c r="P294" s="9">
        <f>IF(L294="","",MAX(0,MAX($O$2:O294)))</f>
        <v/>
      </c>
      <c r="Q294" s="9">
        <f>IF(L294="","",P294-O294)</f>
        <v/>
      </c>
      <c r="S294">
        <f>IF(N294="Win",N(S293)+1,0)</f>
        <v/>
      </c>
      <c r="T294">
        <f>IF(N294="Loss",N(T293)+1,0)</f>
        <v/>
      </c>
    </row>
    <row r="295">
      <c r="A295" s="5" t="n"/>
      <c r="B295" s="6" t="n"/>
      <c r="C295" s="6" t="n"/>
      <c r="D295" s="6" t="n"/>
      <c r="E295" s="7" t="n"/>
      <c r="F295" s="7" t="n"/>
      <c r="G295" s="6" t="n"/>
      <c r="H295" s="6" t="n"/>
      <c r="I295" s="7" t="n"/>
      <c r="J295" s="8" t="n"/>
      <c r="K295" s="6" t="n"/>
      <c r="L295" s="9">
        <f>IF(OR(E295="",F295=""),"",ROUND(IF(D295="Short",E295-F295,F295-E295)*G295*H295-I295,2))</f>
        <v/>
      </c>
      <c r="M295" s="10">
        <f>IF(OR(L295="",N(J295)&lt;=0),"",L295/J295)</f>
        <v/>
      </c>
      <c r="N295" s="11">
        <f>IF(L295="","",IF(L295&gt;0,"Win",IF(L295&lt;0,"Loss","Flat")))</f>
        <v/>
      </c>
      <c r="O295" s="9">
        <f>IF(L295="","",SUM($L$2:L295))</f>
        <v/>
      </c>
      <c r="P295" s="9">
        <f>IF(L295="","",MAX(0,MAX($O$2:O295)))</f>
        <v/>
      </c>
      <c r="Q295" s="9">
        <f>IF(L295="","",P295-O295)</f>
        <v/>
      </c>
      <c r="S295">
        <f>IF(N295="Win",N(S294)+1,0)</f>
        <v/>
      </c>
      <c r="T295">
        <f>IF(N295="Loss",N(T294)+1,0)</f>
        <v/>
      </c>
    </row>
    <row r="296">
      <c r="A296" s="5" t="n"/>
      <c r="B296" s="6" t="n"/>
      <c r="C296" s="6" t="n"/>
      <c r="D296" s="6" t="n"/>
      <c r="E296" s="7" t="n"/>
      <c r="F296" s="7" t="n"/>
      <c r="G296" s="6" t="n"/>
      <c r="H296" s="6" t="n"/>
      <c r="I296" s="7" t="n"/>
      <c r="J296" s="8" t="n"/>
      <c r="K296" s="6" t="n"/>
      <c r="L296" s="9">
        <f>IF(OR(E296="",F296=""),"",ROUND(IF(D296="Short",E296-F296,F296-E296)*G296*H296-I296,2))</f>
        <v/>
      </c>
      <c r="M296" s="10">
        <f>IF(OR(L296="",N(J296)&lt;=0),"",L296/J296)</f>
        <v/>
      </c>
      <c r="N296" s="11">
        <f>IF(L296="","",IF(L296&gt;0,"Win",IF(L296&lt;0,"Loss","Flat")))</f>
        <v/>
      </c>
      <c r="O296" s="9">
        <f>IF(L296="","",SUM($L$2:L296))</f>
        <v/>
      </c>
      <c r="P296" s="9">
        <f>IF(L296="","",MAX(0,MAX($O$2:O296)))</f>
        <v/>
      </c>
      <c r="Q296" s="9">
        <f>IF(L296="","",P296-O296)</f>
        <v/>
      </c>
      <c r="S296">
        <f>IF(N296="Win",N(S295)+1,0)</f>
        <v/>
      </c>
      <c r="T296">
        <f>IF(N296="Loss",N(T295)+1,0)</f>
        <v/>
      </c>
    </row>
    <row r="297">
      <c r="A297" s="5" t="n"/>
      <c r="B297" s="6" t="n"/>
      <c r="C297" s="6" t="n"/>
      <c r="D297" s="6" t="n"/>
      <c r="E297" s="7" t="n"/>
      <c r="F297" s="7" t="n"/>
      <c r="G297" s="6" t="n"/>
      <c r="H297" s="6" t="n"/>
      <c r="I297" s="7" t="n"/>
      <c r="J297" s="8" t="n"/>
      <c r="K297" s="6" t="n"/>
      <c r="L297" s="9">
        <f>IF(OR(E297="",F297=""),"",ROUND(IF(D297="Short",E297-F297,F297-E297)*G297*H297-I297,2))</f>
        <v/>
      </c>
      <c r="M297" s="10">
        <f>IF(OR(L297="",N(J297)&lt;=0),"",L297/J297)</f>
        <v/>
      </c>
      <c r="N297" s="11">
        <f>IF(L297="","",IF(L297&gt;0,"Win",IF(L297&lt;0,"Loss","Flat")))</f>
        <v/>
      </c>
      <c r="O297" s="9">
        <f>IF(L297="","",SUM($L$2:L297))</f>
        <v/>
      </c>
      <c r="P297" s="9">
        <f>IF(L297="","",MAX(0,MAX($O$2:O297)))</f>
        <v/>
      </c>
      <c r="Q297" s="9">
        <f>IF(L297="","",P297-O297)</f>
        <v/>
      </c>
      <c r="S297">
        <f>IF(N297="Win",N(S296)+1,0)</f>
        <v/>
      </c>
      <c r="T297">
        <f>IF(N297="Loss",N(T296)+1,0)</f>
        <v/>
      </c>
    </row>
    <row r="298">
      <c r="A298" s="5" t="n"/>
      <c r="B298" s="6" t="n"/>
      <c r="C298" s="6" t="n"/>
      <c r="D298" s="6" t="n"/>
      <c r="E298" s="7" t="n"/>
      <c r="F298" s="7" t="n"/>
      <c r="G298" s="6" t="n"/>
      <c r="H298" s="6" t="n"/>
      <c r="I298" s="7" t="n"/>
      <c r="J298" s="8" t="n"/>
      <c r="K298" s="6" t="n"/>
      <c r="L298" s="9">
        <f>IF(OR(E298="",F298=""),"",ROUND(IF(D298="Short",E298-F298,F298-E298)*G298*H298-I298,2))</f>
        <v/>
      </c>
      <c r="M298" s="10">
        <f>IF(OR(L298="",N(J298)&lt;=0),"",L298/J298)</f>
        <v/>
      </c>
      <c r="N298" s="11">
        <f>IF(L298="","",IF(L298&gt;0,"Win",IF(L298&lt;0,"Loss","Flat")))</f>
        <v/>
      </c>
      <c r="O298" s="9">
        <f>IF(L298="","",SUM($L$2:L298))</f>
        <v/>
      </c>
      <c r="P298" s="9">
        <f>IF(L298="","",MAX(0,MAX($O$2:O298)))</f>
        <v/>
      </c>
      <c r="Q298" s="9">
        <f>IF(L298="","",P298-O298)</f>
        <v/>
      </c>
      <c r="S298">
        <f>IF(N298="Win",N(S297)+1,0)</f>
        <v/>
      </c>
      <c r="T298">
        <f>IF(N298="Loss",N(T297)+1,0)</f>
        <v/>
      </c>
    </row>
    <row r="299">
      <c r="A299" s="5" t="n"/>
      <c r="B299" s="6" t="n"/>
      <c r="C299" s="6" t="n"/>
      <c r="D299" s="6" t="n"/>
      <c r="E299" s="7" t="n"/>
      <c r="F299" s="7" t="n"/>
      <c r="G299" s="6" t="n"/>
      <c r="H299" s="6" t="n"/>
      <c r="I299" s="7" t="n"/>
      <c r="J299" s="8" t="n"/>
      <c r="K299" s="6" t="n"/>
      <c r="L299" s="9">
        <f>IF(OR(E299="",F299=""),"",ROUND(IF(D299="Short",E299-F299,F299-E299)*G299*H299-I299,2))</f>
        <v/>
      </c>
      <c r="M299" s="10">
        <f>IF(OR(L299="",N(J299)&lt;=0),"",L299/J299)</f>
        <v/>
      </c>
      <c r="N299" s="11">
        <f>IF(L299="","",IF(L299&gt;0,"Win",IF(L299&lt;0,"Loss","Flat")))</f>
        <v/>
      </c>
      <c r="O299" s="9">
        <f>IF(L299="","",SUM($L$2:L299))</f>
        <v/>
      </c>
      <c r="P299" s="9">
        <f>IF(L299="","",MAX(0,MAX($O$2:O299)))</f>
        <v/>
      </c>
      <c r="Q299" s="9">
        <f>IF(L299="","",P299-O299)</f>
        <v/>
      </c>
      <c r="S299">
        <f>IF(N299="Win",N(S298)+1,0)</f>
        <v/>
      </c>
      <c r="T299">
        <f>IF(N299="Loss",N(T298)+1,0)</f>
        <v/>
      </c>
    </row>
    <row r="300">
      <c r="A300" s="5" t="n"/>
      <c r="B300" s="6" t="n"/>
      <c r="C300" s="6" t="n"/>
      <c r="D300" s="6" t="n"/>
      <c r="E300" s="7" t="n"/>
      <c r="F300" s="7" t="n"/>
      <c r="G300" s="6" t="n"/>
      <c r="H300" s="6" t="n"/>
      <c r="I300" s="7" t="n"/>
      <c r="J300" s="8" t="n"/>
      <c r="K300" s="6" t="n"/>
      <c r="L300" s="9">
        <f>IF(OR(E300="",F300=""),"",ROUND(IF(D300="Short",E300-F300,F300-E300)*G300*H300-I300,2))</f>
        <v/>
      </c>
      <c r="M300" s="10">
        <f>IF(OR(L300="",N(J300)&lt;=0),"",L300/J300)</f>
        <v/>
      </c>
      <c r="N300" s="11">
        <f>IF(L300="","",IF(L300&gt;0,"Win",IF(L300&lt;0,"Loss","Flat")))</f>
        <v/>
      </c>
      <c r="O300" s="9">
        <f>IF(L300="","",SUM($L$2:L300))</f>
        <v/>
      </c>
      <c r="P300" s="9">
        <f>IF(L300="","",MAX(0,MAX($O$2:O300)))</f>
        <v/>
      </c>
      <c r="Q300" s="9">
        <f>IF(L300="","",P300-O300)</f>
        <v/>
      </c>
      <c r="S300">
        <f>IF(N300="Win",N(S299)+1,0)</f>
        <v/>
      </c>
      <c r="T300">
        <f>IF(N300="Loss",N(T299)+1,0)</f>
        <v/>
      </c>
    </row>
    <row r="301">
      <c r="A301" s="5" t="n"/>
      <c r="B301" s="6" t="n"/>
      <c r="C301" s="6" t="n"/>
      <c r="D301" s="6" t="n"/>
      <c r="E301" s="7" t="n"/>
      <c r="F301" s="7" t="n"/>
      <c r="G301" s="6" t="n"/>
      <c r="H301" s="6" t="n"/>
      <c r="I301" s="7" t="n"/>
      <c r="J301" s="8" t="n"/>
      <c r="K301" s="6" t="n"/>
      <c r="L301" s="9">
        <f>IF(OR(E301="",F301=""),"",ROUND(IF(D301="Short",E301-F301,F301-E301)*G301*H301-I301,2))</f>
        <v/>
      </c>
      <c r="M301" s="10">
        <f>IF(OR(L301="",N(J301)&lt;=0),"",L301/J301)</f>
        <v/>
      </c>
      <c r="N301" s="11">
        <f>IF(L301="","",IF(L301&gt;0,"Win",IF(L301&lt;0,"Loss","Flat")))</f>
        <v/>
      </c>
      <c r="O301" s="9">
        <f>IF(L301="","",SUM($L$2:L301))</f>
        <v/>
      </c>
      <c r="P301" s="9">
        <f>IF(L301="","",MAX(0,MAX($O$2:O301)))</f>
        <v/>
      </c>
      <c r="Q301" s="9">
        <f>IF(L301="","",P301-O301)</f>
        <v/>
      </c>
      <c r="S301">
        <f>IF(N301="Win",N(S300)+1,0)</f>
        <v/>
      </c>
      <c r="T301">
        <f>IF(N301="Loss",N(T300)+1,0)</f>
        <v/>
      </c>
    </row>
    <row r="302">
      <c r="A302" s="5" t="n"/>
      <c r="B302" s="6" t="n"/>
      <c r="C302" s="6" t="n"/>
      <c r="D302" s="6" t="n"/>
      <c r="E302" s="7" t="n"/>
      <c r="F302" s="7" t="n"/>
      <c r="G302" s="6" t="n"/>
      <c r="H302" s="6" t="n"/>
      <c r="I302" s="7" t="n"/>
      <c r="J302" s="8" t="n"/>
      <c r="K302" s="6" t="n"/>
      <c r="L302" s="9">
        <f>IF(OR(E302="",F302=""),"",ROUND(IF(D302="Short",E302-F302,F302-E302)*G302*H302-I302,2))</f>
        <v/>
      </c>
      <c r="M302" s="10">
        <f>IF(OR(L302="",N(J302)&lt;=0),"",L302/J302)</f>
        <v/>
      </c>
      <c r="N302" s="11">
        <f>IF(L302="","",IF(L302&gt;0,"Win",IF(L302&lt;0,"Loss","Flat")))</f>
        <v/>
      </c>
      <c r="O302" s="9">
        <f>IF(L302="","",SUM($L$2:L302))</f>
        <v/>
      </c>
      <c r="P302" s="9">
        <f>IF(L302="","",MAX(0,MAX($O$2:O302)))</f>
        <v/>
      </c>
      <c r="Q302" s="9">
        <f>IF(L302="","",P302-O302)</f>
        <v/>
      </c>
      <c r="S302">
        <f>IF(N302="Win",N(S301)+1,0)</f>
        <v/>
      </c>
      <c r="T302">
        <f>IF(N302="Loss",N(T301)+1,0)</f>
        <v/>
      </c>
    </row>
    <row r="303">
      <c r="A303" s="5" t="n"/>
      <c r="B303" s="6" t="n"/>
      <c r="C303" s="6" t="n"/>
      <c r="D303" s="6" t="n"/>
      <c r="E303" s="7" t="n"/>
      <c r="F303" s="7" t="n"/>
      <c r="G303" s="6" t="n"/>
      <c r="H303" s="6" t="n"/>
      <c r="I303" s="7" t="n"/>
      <c r="J303" s="8" t="n"/>
      <c r="K303" s="6" t="n"/>
      <c r="L303" s="9">
        <f>IF(OR(E303="",F303=""),"",ROUND(IF(D303="Short",E303-F303,F303-E303)*G303*H303-I303,2))</f>
        <v/>
      </c>
      <c r="M303" s="10">
        <f>IF(OR(L303="",N(J303)&lt;=0),"",L303/J303)</f>
        <v/>
      </c>
      <c r="N303" s="11">
        <f>IF(L303="","",IF(L303&gt;0,"Win",IF(L303&lt;0,"Loss","Flat")))</f>
        <v/>
      </c>
      <c r="O303" s="9">
        <f>IF(L303="","",SUM($L$2:L303))</f>
        <v/>
      </c>
      <c r="P303" s="9">
        <f>IF(L303="","",MAX(0,MAX($O$2:O303)))</f>
        <v/>
      </c>
      <c r="Q303" s="9">
        <f>IF(L303="","",P303-O303)</f>
        <v/>
      </c>
      <c r="S303">
        <f>IF(N303="Win",N(S302)+1,0)</f>
        <v/>
      </c>
      <c r="T303">
        <f>IF(N303="Loss",N(T302)+1,0)</f>
        <v/>
      </c>
    </row>
    <row r="304">
      <c r="A304" s="5" t="n"/>
      <c r="B304" s="6" t="n"/>
      <c r="C304" s="6" t="n"/>
      <c r="D304" s="6" t="n"/>
      <c r="E304" s="7" t="n"/>
      <c r="F304" s="7" t="n"/>
      <c r="G304" s="6" t="n"/>
      <c r="H304" s="6" t="n"/>
      <c r="I304" s="7" t="n"/>
      <c r="J304" s="8" t="n"/>
      <c r="K304" s="6" t="n"/>
      <c r="L304" s="9">
        <f>IF(OR(E304="",F304=""),"",ROUND(IF(D304="Short",E304-F304,F304-E304)*G304*H304-I304,2))</f>
        <v/>
      </c>
      <c r="M304" s="10">
        <f>IF(OR(L304="",N(J304)&lt;=0),"",L304/J304)</f>
        <v/>
      </c>
      <c r="N304" s="11">
        <f>IF(L304="","",IF(L304&gt;0,"Win",IF(L304&lt;0,"Loss","Flat")))</f>
        <v/>
      </c>
      <c r="O304" s="9">
        <f>IF(L304="","",SUM($L$2:L304))</f>
        <v/>
      </c>
      <c r="P304" s="9">
        <f>IF(L304="","",MAX(0,MAX($O$2:O304)))</f>
        <v/>
      </c>
      <c r="Q304" s="9">
        <f>IF(L304="","",P304-O304)</f>
        <v/>
      </c>
      <c r="S304">
        <f>IF(N304="Win",N(S303)+1,0)</f>
        <v/>
      </c>
      <c r="T304">
        <f>IF(N304="Loss",N(T303)+1,0)</f>
        <v/>
      </c>
    </row>
    <row r="305">
      <c r="A305" s="5" t="n"/>
      <c r="B305" s="6" t="n"/>
      <c r="C305" s="6" t="n"/>
      <c r="D305" s="6" t="n"/>
      <c r="E305" s="7" t="n"/>
      <c r="F305" s="7" t="n"/>
      <c r="G305" s="6" t="n"/>
      <c r="H305" s="6" t="n"/>
      <c r="I305" s="7" t="n"/>
      <c r="J305" s="8" t="n"/>
      <c r="K305" s="6" t="n"/>
      <c r="L305" s="9">
        <f>IF(OR(E305="",F305=""),"",ROUND(IF(D305="Short",E305-F305,F305-E305)*G305*H305-I305,2))</f>
        <v/>
      </c>
      <c r="M305" s="10">
        <f>IF(OR(L305="",N(J305)&lt;=0),"",L305/J305)</f>
        <v/>
      </c>
      <c r="N305" s="11">
        <f>IF(L305="","",IF(L305&gt;0,"Win",IF(L305&lt;0,"Loss","Flat")))</f>
        <v/>
      </c>
      <c r="O305" s="9">
        <f>IF(L305="","",SUM($L$2:L305))</f>
        <v/>
      </c>
      <c r="P305" s="9">
        <f>IF(L305="","",MAX(0,MAX($O$2:O305)))</f>
        <v/>
      </c>
      <c r="Q305" s="9">
        <f>IF(L305="","",P305-O305)</f>
        <v/>
      </c>
      <c r="S305">
        <f>IF(N305="Win",N(S304)+1,0)</f>
        <v/>
      </c>
      <c r="T305">
        <f>IF(N305="Loss",N(T304)+1,0)</f>
        <v/>
      </c>
    </row>
    <row r="306">
      <c r="A306" s="5" t="n"/>
      <c r="B306" s="6" t="n"/>
      <c r="C306" s="6" t="n"/>
      <c r="D306" s="6" t="n"/>
      <c r="E306" s="7" t="n"/>
      <c r="F306" s="7" t="n"/>
      <c r="G306" s="6" t="n"/>
      <c r="H306" s="6" t="n"/>
      <c r="I306" s="7" t="n"/>
      <c r="J306" s="8" t="n"/>
      <c r="K306" s="6" t="n"/>
      <c r="L306" s="9">
        <f>IF(OR(E306="",F306=""),"",ROUND(IF(D306="Short",E306-F306,F306-E306)*G306*H306-I306,2))</f>
        <v/>
      </c>
      <c r="M306" s="10">
        <f>IF(OR(L306="",N(J306)&lt;=0),"",L306/J306)</f>
        <v/>
      </c>
      <c r="N306" s="11">
        <f>IF(L306="","",IF(L306&gt;0,"Win",IF(L306&lt;0,"Loss","Flat")))</f>
        <v/>
      </c>
      <c r="O306" s="9">
        <f>IF(L306="","",SUM($L$2:L306))</f>
        <v/>
      </c>
      <c r="P306" s="9">
        <f>IF(L306="","",MAX(0,MAX($O$2:O306)))</f>
        <v/>
      </c>
      <c r="Q306" s="9">
        <f>IF(L306="","",P306-O306)</f>
        <v/>
      </c>
      <c r="S306">
        <f>IF(N306="Win",N(S305)+1,0)</f>
        <v/>
      </c>
      <c r="T306">
        <f>IF(N306="Loss",N(T305)+1,0)</f>
        <v/>
      </c>
    </row>
    <row r="307">
      <c r="A307" s="5" t="n"/>
      <c r="B307" s="6" t="n"/>
      <c r="C307" s="6" t="n"/>
      <c r="D307" s="6" t="n"/>
      <c r="E307" s="7" t="n"/>
      <c r="F307" s="7" t="n"/>
      <c r="G307" s="6" t="n"/>
      <c r="H307" s="6" t="n"/>
      <c r="I307" s="7" t="n"/>
      <c r="J307" s="8" t="n"/>
      <c r="K307" s="6" t="n"/>
      <c r="L307" s="9">
        <f>IF(OR(E307="",F307=""),"",ROUND(IF(D307="Short",E307-F307,F307-E307)*G307*H307-I307,2))</f>
        <v/>
      </c>
      <c r="M307" s="10">
        <f>IF(OR(L307="",N(J307)&lt;=0),"",L307/J307)</f>
        <v/>
      </c>
      <c r="N307" s="11">
        <f>IF(L307="","",IF(L307&gt;0,"Win",IF(L307&lt;0,"Loss","Flat")))</f>
        <v/>
      </c>
      <c r="O307" s="9">
        <f>IF(L307="","",SUM($L$2:L307))</f>
        <v/>
      </c>
      <c r="P307" s="9">
        <f>IF(L307="","",MAX(0,MAX($O$2:O307)))</f>
        <v/>
      </c>
      <c r="Q307" s="9">
        <f>IF(L307="","",P307-O307)</f>
        <v/>
      </c>
      <c r="S307">
        <f>IF(N307="Win",N(S306)+1,0)</f>
        <v/>
      </c>
      <c r="T307">
        <f>IF(N307="Loss",N(T306)+1,0)</f>
        <v/>
      </c>
    </row>
    <row r="308">
      <c r="A308" s="5" t="n"/>
      <c r="B308" s="6" t="n"/>
      <c r="C308" s="6" t="n"/>
      <c r="D308" s="6" t="n"/>
      <c r="E308" s="7" t="n"/>
      <c r="F308" s="7" t="n"/>
      <c r="G308" s="6" t="n"/>
      <c r="H308" s="6" t="n"/>
      <c r="I308" s="7" t="n"/>
      <c r="J308" s="8" t="n"/>
      <c r="K308" s="6" t="n"/>
      <c r="L308" s="9">
        <f>IF(OR(E308="",F308=""),"",ROUND(IF(D308="Short",E308-F308,F308-E308)*G308*H308-I308,2))</f>
        <v/>
      </c>
      <c r="M308" s="10">
        <f>IF(OR(L308="",N(J308)&lt;=0),"",L308/J308)</f>
        <v/>
      </c>
      <c r="N308" s="11">
        <f>IF(L308="","",IF(L308&gt;0,"Win",IF(L308&lt;0,"Loss","Flat")))</f>
        <v/>
      </c>
      <c r="O308" s="9">
        <f>IF(L308="","",SUM($L$2:L308))</f>
        <v/>
      </c>
      <c r="P308" s="9">
        <f>IF(L308="","",MAX(0,MAX($O$2:O308)))</f>
        <v/>
      </c>
      <c r="Q308" s="9">
        <f>IF(L308="","",P308-O308)</f>
        <v/>
      </c>
      <c r="S308">
        <f>IF(N308="Win",N(S307)+1,0)</f>
        <v/>
      </c>
      <c r="T308">
        <f>IF(N308="Loss",N(T307)+1,0)</f>
        <v/>
      </c>
    </row>
    <row r="309">
      <c r="A309" s="5" t="n"/>
      <c r="B309" s="6" t="n"/>
      <c r="C309" s="6" t="n"/>
      <c r="D309" s="6" t="n"/>
      <c r="E309" s="7" t="n"/>
      <c r="F309" s="7" t="n"/>
      <c r="G309" s="6" t="n"/>
      <c r="H309" s="6" t="n"/>
      <c r="I309" s="7" t="n"/>
      <c r="J309" s="8" t="n"/>
      <c r="K309" s="6" t="n"/>
      <c r="L309" s="9">
        <f>IF(OR(E309="",F309=""),"",ROUND(IF(D309="Short",E309-F309,F309-E309)*G309*H309-I309,2))</f>
        <v/>
      </c>
      <c r="M309" s="10">
        <f>IF(OR(L309="",N(J309)&lt;=0),"",L309/J309)</f>
        <v/>
      </c>
      <c r="N309" s="11">
        <f>IF(L309="","",IF(L309&gt;0,"Win",IF(L309&lt;0,"Loss","Flat")))</f>
        <v/>
      </c>
      <c r="O309" s="9">
        <f>IF(L309="","",SUM($L$2:L309))</f>
        <v/>
      </c>
      <c r="P309" s="9">
        <f>IF(L309="","",MAX(0,MAX($O$2:O309)))</f>
        <v/>
      </c>
      <c r="Q309" s="9">
        <f>IF(L309="","",P309-O309)</f>
        <v/>
      </c>
      <c r="S309">
        <f>IF(N309="Win",N(S308)+1,0)</f>
        <v/>
      </c>
      <c r="T309">
        <f>IF(N309="Loss",N(T308)+1,0)</f>
        <v/>
      </c>
    </row>
    <row r="310">
      <c r="A310" s="5" t="n"/>
      <c r="B310" s="6" t="n"/>
      <c r="C310" s="6" t="n"/>
      <c r="D310" s="6" t="n"/>
      <c r="E310" s="7" t="n"/>
      <c r="F310" s="7" t="n"/>
      <c r="G310" s="6" t="n"/>
      <c r="H310" s="6" t="n"/>
      <c r="I310" s="7" t="n"/>
      <c r="J310" s="8" t="n"/>
      <c r="K310" s="6" t="n"/>
      <c r="L310" s="9">
        <f>IF(OR(E310="",F310=""),"",ROUND(IF(D310="Short",E310-F310,F310-E310)*G310*H310-I310,2))</f>
        <v/>
      </c>
      <c r="M310" s="10">
        <f>IF(OR(L310="",N(J310)&lt;=0),"",L310/J310)</f>
        <v/>
      </c>
      <c r="N310" s="11">
        <f>IF(L310="","",IF(L310&gt;0,"Win",IF(L310&lt;0,"Loss","Flat")))</f>
        <v/>
      </c>
      <c r="O310" s="9">
        <f>IF(L310="","",SUM($L$2:L310))</f>
        <v/>
      </c>
      <c r="P310" s="9">
        <f>IF(L310="","",MAX(0,MAX($O$2:O310)))</f>
        <v/>
      </c>
      <c r="Q310" s="9">
        <f>IF(L310="","",P310-O310)</f>
        <v/>
      </c>
      <c r="S310">
        <f>IF(N310="Win",N(S309)+1,0)</f>
        <v/>
      </c>
      <c r="T310">
        <f>IF(N310="Loss",N(T309)+1,0)</f>
        <v/>
      </c>
    </row>
    <row r="311">
      <c r="A311" s="5" t="n"/>
      <c r="B311" s="6" t="n"/>
      <c r="C311" s="6" t="n"/>
      <c r="D311" s="6" t="n"/>
      <c r="E311" s="7" t="n"/>
      <c r="F311" s="7" t="n"/>
      <c r="G311" s="6" t="n"/>
      <c r="H311" s="6" t="n"/>
      <c r="I311" s="7" t="n"/>
      <c r="J311" s="8" t="n"/>
      <c r="K311" s="6" t="n"/>
      <c r="L311" s="9">
        <f>IF(OR(E311="",F311=""),"",ROUND(IF(D311="Short",E311-F311,F311-E311)*G311*H311-I311,2))</f>
        <v/>
      </c>
      <c r="M311" s="10">
        <f>IF(OR(L311="",N(J311)&lt;=0),"",L311/J311)</f>
        <v/>
      </c>
      <c r="N311" s="11">
        <f>IF(L311="","",IF(L311&gt;0,"Win",IF(L311&lt;0,"Loss","Flat")))</f>
        <v/>
      </c>
      <c r="O311" s="9">
        <f>IF(L311="","",SUM($L$2:L311))</f>
        <v/>
      </c>
      <c r="P311" s="9">
        <f>IF(L311="","",MAX(0,MAX($O$2:O311)))</f>
        <v/>
      </c>
      <c r="Q311" s="9">
        <f>IF(L311="","",P311-O311)</f>
        <v/>
      </c>
      <c r="S311">
        <f>IF(N311="Win",N(S310)+1,0)</f>
        <v/>
      </c>
      <c r="T311">
        <f>IF(N311="Loss",N(T310)+1,0)</f>
        <v/>
      </c>
    </row>
    <row r="312">
      <c r="A312" s="5" t="n"/>
      <c r="B312" s="6" t="n"/>
      <c r="C312" s="6" t="n"/>
      <c r="D312" s="6" t="n"/>
      <c r="E312" s="7" t="n"/>
      <c r="F312" s="7" t="n"/>
      <c r="G312" s="6" t="n"/>
      <c r="H312" s="6" t="n"/>
      <c r="I312" s="7" t="n"/>
      <c r="J312" s="8" t="n"/>
      <c r="K312" s="6" t="n"/>
      <c r="L312" s="9">
        <f>IF(OR(E312="",F312=""),"",ROUND(IF(D312="Short",E312-F312,F312-E312)*G312*H312-I312,2))</f>
        <v/>
      </c>
      <c r="M312" s="10">
        <f>IF(OR(L312="",N(J312)&lt;=0),"",L312/J312)</f>
        <v/>
      </c>
      <c r="N312" s="11">
        <f>IF(L312="","",IF(L312&gt;0,"Win",IF(L312&lt;0,"Loss","Flat")))</f>
        <v/>
      </c>
      <c r="O312" s="9">
        <f>IF(L312="","",SUM($L$2:L312))</f>
        <v/>
      </c>
      <c r="P312" s="9">
        <f>IF(L312="","",MAX(0,MAX($O$2:O312)))</f>
        <v/>
      </c>
      <c r="Q312" s="9">
        <f>IF(L312="","",P312-O312)</f>
        <v/>
      </c>
      <c r="S312">
        <f>IF(N312="Win",N(S311)+1,0)</f>
        <v/>
      </c>
      <c r="T312">
        <f>IF(N312="Loss",N(T311)+1,0)</f>
        <v/>
      </c>
    </row>
    <row r="313">
      <c r="A313" s="5" t="n"/>
      <c r="B313" s="6" t="n"/>
      <c r="C313" s="6" t="n"/>
      <c r="D313" s="6" t="n"/>
      <c r="E313" s="7" t="n"/>
      <c r="F313" s="7" t="n"/>
      <c r="G313" s="6" t="n"/>
      <c r="H313" s="6" t="n"/>
      <c r="I313" s="7" t="n"/>
      <c r="J313" s="8" t="n"/>
      <c r="K313" s="6" t="n"/>
      <c r="L313" s="9">
        <f>IF(OR(E313="",F313=""),"",ROUND(IF(D313="Short",E313-F313,F313-E313)*G313*H313-I313,2))</f>
        <v/>
      </c>
      <c r="M313" s="10">
        <f>IF(OR(L313="",N(J313)&lt;=0),"",L313/J313)</f>
        <v/>
      </c>
      <c r="N313" s="11">
        <f>IF(L313="","",IF(L313&gt;0,"Win",IF(L313&lt;0,"Loss","Flat")))</f>
        <v/>
      </c>
      <c r="O313" s="9">
        <f>IF(L313="","",SUM($L$2:L313))</f>
        <v/>
      </c>
      <c r="P313" s="9">
        <f>IF(L313="","",MAX(0,MAX($O$2:O313)))</f>
        <v/>
      </c>
      <c r="Q313" s="9">
        <f>IF(L313="","",P313-O313)</f>
        <v/>
      </c>
      <c r="S313">
        <f>IF(N313="Win",N(S312)+1,0)</f>
        <v/>
      </c>
      <c r="T313">
        <f>IF(N313="Loss",N(T312)+1,0)</f>
        <v/>
      </c>
    </row>
    <row r="314">
      <c r="A314" s="5" t="n"/>
      <c r="B314" s="6" t="n"/>
      <c r="C314" s="6" t="n"/>
      <c r="D314" s="6" t="n"/>
      <c r="E314" s="7" t="n"/>
      <c r="F314" s="7" t="n"/>
      <c r="G314" s="6" t="n"/>
      <c r="H314" s="6" t="n"/>
      <c r="I314" s="7" t="n"/>
      <c r="J314" s="8" t="n"/>
      <c r="K314" s="6" t="n"/>
      <c r="L314" s="9">
        <f>IF(OR(E314="",F314=""),"",ROUND(IF(D314="Short",E314-F314,F314-E314)*G314*H314-I314,2))</f>
        <v/>
      </c>
      <c r="M314" s="10">
        <f>IF(OR(L314="",N(J314)&lt;=0),"",L314/J314)</f>
        <v/>
      </c>
      <c r="N314" s="11">
        <f>IF(L314="","",IF(L314&gt;0,"Win",IF(L314&lt;0,"Loss","Flat")))</f>
        <v/>
      </c>
      <c r="O314" s="9">
        <f>IF(L314="","",SUM($L$2:L314))</f>
        <v/>
      </c>
      <c r="P314" s="9">
        <f>IF(L314="","",MAX(0,MAX($O$2:O314)))</f>
        <v/>
      </c>
      <c r="Q314" s="9">
        <f>IF(L314="","",P314-O314)</f>
        <v/>
      </c>
      <c r="S314">
        <f>IF(N314="Win",N(S313)+1,0)</f>
        <v/>
      </c>
      <c r="T314">
        <f>IF(N314="Loss",N(T313)+1,0)</f>
        <v/>
      </c>
    </row>
    <row r="315">
      <c r="A315" s="5" t="n"/>
      <c r="B315" s="6" t="n"/>
      <c r="C315" s="6" t="n"/>
      <c r="D315" s="6" t="n"/>
      <c r="E315" s="7" t="n"/>
      <c r="F315" s="7" t="n"/>
      <c r="G315" s="6" t="n"/>
      <c r="H315" s="6" t="n"/>
      <c r="I315" s="7" t="n"/>
      <c r="J315" s="8" t="n"/>
      <c r="K315" s="6" t="n"/>
      <c r="L315" s="9">
        <f>IF(OR(E315="",F315=""),"",ROUND(IF(D315="Short",E315-F315,F315-E315)*G315*H315-I315,2))</f>
        <v/>
      </c>
      <c r="M315" s="10">
        <f>IF(OR(L315="",N(J315)&lt;=0),"",L315/J315)</f>
        <v/>
      </c>
      <c r="N315" s="11">
        <f>IF(L315="","",IF(L315&gt;0,"Win",IF(L315&lt;0,"Loss","Flat")))</f>
        <v/>
      </c>
      <c r="O315" s="9">
        <f>IF(L315="","",SUM($L$2:L315))</f>
        <v/>
      </c>
      <c r="P315" s="9">
        <f>IF(L315="","",MAX(0,MAX($O$2:O315)))</f>
        <v/>
      </c>
      <c r="Q315" s="9">
        <f>IF(L315="","",P315-O315)</f>
        <v/>
      </c>
      <c r="S315">
        <f>IF(N315="Win",N(S314)+1,0)</f>
        <v/>
      </c>
      <c r="T315">
        <f>IF(N315="Loss",N(T314)+1,0)</f>
        <v/>
      </c>
    </row>
    <row r="316">
      <c r="A316" s="5" t="n"/>
      <c r="B316" s="6" t="n"/>
      <c r="C316" s="6" t="n"/>
      <c r="D316" s="6" t="n"/>
      <c r="E316" s="7" t="n"/>
      <c r="F316" s="7" t="n"/>
      <c r="G316" s="6" t="n"/>
      <c r="H316" s="6" t="n"/>
      <c r="I316" s="7" t="n"/>
      <c r="J316" s="8" t="n"/>
      <c r="K316" s="6" t="n"/>
      <c r="L316" s="9">
        <f>IF(OR(E316="",F316=""),"",ROUND(IF(D316="Short",E316-F316,F316-E316)*G316*H316-I316,2))</f>
        <v/>
      </c>
      <c r="M316" s="10">
        <f>IF(OR(L316="",N(J316)&lt;=0),"",L316/J316)</f>
        <v/>
      </c>
      <c r="N316" s="11">
        <f>IF(L316="","",IF(L316&gt;0,"Win",IF(L316&lt;0,"Loss","Flat")))</f>
        <v/>
      </c>
      <c r="O316" s="9">
        <f>IF(L316="","",SUM($L$2:L316))</f>
        <v/>
      </c>
      <c r="P316" s="9">
        <f>IF(L316="","",MAX(0,MAX($O$2:O316)))</f>
        <v/>
      </c>
      <c r="Q316" s="9">
        <f>IF(L316="","",P316-O316)</f>
        <v/>
      </c>
      <c r="S316">
        <f>IF(N316="Win",N(S315)+1,0)</f>
        <v/>
      </c>
      <c r="T316">
        <f>IF(N316="Loss",N(T315)+1,0)</f>
        <v/>
      </c>
    </row>
    <row r="317">
      <c r="A317" s="5" t="n"/>
      <c r="B317" s="6" t="n"/>
      <c r="C317" s="6" t="n"/>
      <c r="D317" s="6" t="n"/>
      <c r="E317" s="7" t="n"/>
      <c r="F317" s="7" t="n"/>
      <c r="G317" s="6" t="n"/>
      <c r="H317" s="6" t="n"/>
      <c r="I317" s="7" t="n"/>
      <c r="J317" s="8" t="n"/>
      <c r="K317" s="6" t="n"/>
      <c r="L317" s="9">
        <f>IF(OR(E317="",F317=""),"",ROUND(IF(D317="Short",E317-F317,F317-E317)*G317*H317-I317,2))</f>
        <v/>
      </c>
      <c r="M317" s="10">
        <f>IF(OR(L317="",N(J317)&lt;=0),"",L317/J317)</f>
        <v/>
      </c>
      <c r="N317" s="11">
        <f>IF(L317="","",IF(L317&gt;0,"Win",IF(L317&lt;0,"Loss","Flat")))</f>
        <v/>
      </c>
      <c r="O317" s="9">
        <f>IF(L317="","",SUM($L$2:L317))</f>
        <v/>
      </c>
      <c r="P317" s="9">
        <f>IF(L317="","",MAX(0,MAX($O$2:O317)))</f>
        <v/>
      </c>
      <c r="Q317" s="9">
        <f>IF(L317="","",P317-O317)</f>
        <v/>
      </c>
      <c r="S317">
        <f>IF(N317="Win",N(S316)+1,0)</f>
        <v/>
      </c>
      <c r="T317">
        <f>IF(N317="Loss",N(T316)+1,0)</f>
        <v/>
      </c>
    </row>
    <row r="318">
      <c r="A318" s="5" t="n"/>
      <c r="B318" s="6" t="n"/>
      <c r="C318" s="6" t="n"/>
      <c r="D318" s="6" t="n"/>
      <c r="E318" s="7" t="n"/>
      <c r="F318" s="7" t="n"/>
      <c r="G318" s="6" t="n"/>
      <c r="H318" s="6" t="n"/>
      <c r="I318" s="7" t="n"/>
      <c r="J318" s="8" t="n"/>
      <c r="K318" s="6" t="n"/>
      <c r="L318" s="9">
        <f>IF(OR(E318="",F318=""),"",ROUND(IF(D318="Short",E318-F318,F318-E318)*G318*H318-I318,2))</f>
        <v/>
      </c>
      <c r="M318" s="10">
        <f>IF(OR(L318="",N(J318)&lt;=0),"",L318/J318)</f>
        <v/>
      </c>
      <c r="N318" s="11">
        <f>IF(L318="","",IF(L318&gt;0,"Win",IF(L318&lt;0,"Loss","Flat")))</f>
        <v/>
      </c>
      <c r="O318" s="9">
        <f>IF(L318="","",SUM($L$2:L318))</f>
        <v/>
      </c>
      <c r="P318" s="9">
        <f>IF(L318="","",MAX(0,MAX($O$2:O318)))</f>
        <v/>
      </c>
      <c r="Q318" s="9">
        <f>IF(L318="","",P318-O318)</f>
        <v/>
      </c>
      <c r="S318">
        <f>IF(N318="Win",N(S317)+1,0)</f>
        <v/>
      </c>
      <c r="T318">
        <f>IF(N318="Loss",N(T317)+1,0)</f>
        <v/>
      </c>
    </row>
    <row r="319">
      <c r="A319" s="5" t="n"/>
      <c r="B319" s="6" t="n"/>
      <c r="C319" s="6" t="n"/>
      <c r="D319" s="6" t="n"/>
      <c r="E319" s="7" t="n"/>
      <c r="F319" s="7" t="n"/>
      <c r="G319" s="6" t="n"/>
      <c r="H319" s="6" t="n"/>
      <c r="I319" s="7" t="n"/>
      <c r="J319" s="8" t="n"/>
      <c r="K319" s="6" t="n"/>
      <c r="L319" s="9">
        <f>IF(OR(E319="",F319=""),"",ROUND(IF(D319="Short",E319-F319,F319-E319)*G319*H319-I319,2))</f>
        <v/>
      </c>
      <c r="M319" s="10">
        <f>IF(OR(L319="",N(J319)&lt;=0),"",L319/J319)</f>
        <v/>
      </c>
      <c r="N319" s="11">
        <f>IF(L319="","",IF(L319&gt;0,"Win",IF(L319&lt;0,"Loss","Flat")))</f>
        <v/>
      </c>
      <c r="O319" s="9">
        <f>IF(L319="","",SUM($L$2:L319))</f>
        <v/>
      </c>
      <c r="P319" s="9">
        <f>IF(L319="","",MAX(0,MAX($O$2:O319)))</f>
        <v/>
      </c>
      <c r="Q319" s="9">
        <f>IF(L319="","",P319-O319)</f>
        <v/>
      </c>
      <c r="S319">
        <f>IF(N319="Win",N(S318)+1,0)</f>
        <v/>
      </c>
      <c r="T319">
        <f>IF(N319="Loss",N(T318)+1,0)</f>
        <v/>
      </c>
    </row>
    <row r="320">
      <c r="A320" s="5" t="n"/>
      <c r="B320" s="6" t="n"/>
      <c r="C320" s="6" t="n"/>
      <c r="D320" s="6" t="n"/>
      <c r="E320" s="7" t="n"/>
      <c r="F320" s="7" t="n"/>
      <c r="G320" s="6" t="n"/>
      <c r="H320" s="6" t="n"/>
      <c r="I320" s="7" t="n"/>
      <c r="J320" s="8" t="n"/>
      <c r="K320" s="6" t="n"/>
      <c r="L320" s="9">
        <f>IF(OR(E320="",F320=""),"",ROUND(IF(D320="Short",E320-F320,F320-E320)*G320*H320-I320,2))</f>
        <v/>
      </c>
      <c r="M320" s="10">
        <f>IF(OR(L320="",N(J320)&lt;=0),"",L320/J320)</f>
        <v/>
      </c>
      <c r="N320" s="11">
        <f>IF(L320="","",IF(L320&gt;0,"Win",IF(L320&lt;0,"Loss","Flat")))</f>
        <v/>
      </c>
      <c r="O320" s="9">
        <f>IF(L320="","",SUM($L$2:L320))</f>
        <v/>
      </c>
      <c r="P320" s="9">
        <f>IF(L320="","",MAX(0,MAX($O$2:O320)))</f>
        <v/>
      </c>
      <c r="Q320" s="9">
        <f>IF(L320="","",P320-O320)</f>
        <v/>
      </c>
      <c r="S320">
        <f>IF(N320="Win",N(S319)+1,0)</f>
        <v/>
      </c>
      <c r="T320">
        <f>IF(N320="Loss",N(T319)+1,0)</f>
        <v/>
      </c>
    </row>
    <row r="321">
      <c r="A321" s="5" t="n"/>
      <c r="B321" s="6" t="n"/>
      <c r="C321" s="6" t="n"/>
      <c r="D321" s="6" t="n"/>
      <c r="E321" s="7" t="n"/>
      <c r="F321" s="7" t="n"/>
      <c r="G321" s="6" t="n"/>
      <c r="H321" s="6" t="n"/>
      <c r="I321" s="7" t="n"/>
      <c r="J321" s="8" t="n"/>
      <c r="K321" s="6" t="n"/>
      <c r="L321" s="9">
        <f>IF(OR(E321="",F321=""),"",ROUND(IF(D321="Short",E321-F321,F321-E321)*G321*H321-I321,2))</f>
        <v/>
      </c>
      <c r="M321" s="10">
        <f>IF(OR(L321="",N(J321)&lt;=0),"",L321/J321)</f>
        <v/>
      </c>
      <c r="N321" s="11">
        <f>IF(L321="","",IF(L321&gt;0,"Win",IF(L321&lt;0,"Loss","Flat")))</f>
        <v/>
      </c>
      <c r="O321" s="9">
        <f>IF(L321="","",SUM($L$2:L321))</f>
        <v/>
      </c>
      <c r="P321" s="9">
        <f>IF(L321="","",MAX(0,MAX($O$2:O321)))</f>
        <v/>
      </c>
      <c r="Q321" s="9">
        <f>IF(L321="","",P321-O321)</f>
        <v/>
      </c>
      <c r="S321">
        <f>IF(N321="Win",N(S320)+1,0)</f>
        <v/>
      </c>
      <c r="T321">
        <f>IF(N321="Loss",N(T320)+1,0)</f>
        <v/>
      </c>
    </row>
    <row r="322">
      <c r="A322" s="5" t="n"/>
      <c r="B322" s="6" t="n"/>
      <c r="C322" s="6" t="n"/>
      <c r="D322" s="6" t="n"/>
      <c r="E322" s="7" t="n"/>
      <c r="F322" s="7" t="n"/>
      <c r="G322" s="6" t="n"/>
      <c r="H322" s="6" t="n"/>
      <c r="I322" s="7" t="n"/>
      <c r="J322" s="8" t="n"/>
      <c r="K322" s="6" t="n"/>
      <c r="L322" s="9">
        <f>IF(OR(E322="",F322=""),"",ROUND(IF(D322="Short",E322-F322,F322-E322)*G322*H322-I322,2))</f>
        <v/>
      </c>
      <c r="M322" s="10">
        <f>IF(OR(L322="",N(J322)&lt;=0),"",L322/J322)</f>
        <v/>
      </c>
      <c r="N322" s="11">
        <f>IF(L322="","",IF(L322&gt;0,"Win",IF(L322&lt;0,"Loss","Flat")))</f>
        <v/>
      </c>
      <c r="O322" s="9">
        <f>IF(L322="","",SUM($L$2:L322))</f>
        <v/>
      </c>
      <c r="P322" s="9">
        <f>IF(L322="","",MAX(0,MAX($O$2:O322)))</f>
        <v/>
      </c>
      <c r="Q322" s="9">
        <f>IF(L322="","",P322-O322)</f>
        <v/>
      </c>
      <c r="S322">
        <f>IF(N322="Win",N(S321)+1,0)</f>
        <v/>
      </c>
      <c r="T322">
        <f>IF(N322="Loss",N(T321)+1,0)</f>
        <v/>
      </c>
    </row>
    <row r="323">
      <c r="A323" s="5" t="n"/>
      <c r="B323" s="6" t="n"/>
      <c r="C323" s="6" t="n"/>
      <c r="D323" s="6" t="n"/>
      <c r="E323" s="7" t="n"/>
      <c r="F323" s="7" t="n"/>
      <c r="G323" s="6" t="n"/>
      <c r="H323" s="6" t="n"/>
      <c r="I323" s="7" t="n"/>
      <c r="J323" s="8" t="n"/>
      <c r="K323" s="6" t="n"/>
      <c r="L323" s="9">
        <f>IF(OR(E323="",F323=""),"",ROUND(IF(D323="Short",E323-F323,F323-E323)*G323*H323-I323,2))</f>
        <v/>
      </c>
      <c r="M323" s="10">
        <f>IF(OR(L323="",N(J323)&lt;=0),"",L323/J323)</f>
        <v/>
      </c>
      <c r="N323" s="11">
        <f>IF(L323="","",IF(L323&gt;0,"Win",IF(L323&lt;0,"Loss","Flat")))</f>
        <v/>
      </c>
      <c r="O323" s="9">
        <f>IF(L323="","",SUM($L$2:L323))</f>
        <v/>
      </c>
      <c r="P323" s="9">
        <f>IF(L323="","",MAX(0,MAX($O$2:O323)))</f>
        <v/>
      </c>
      <c r="Q323" s="9">
        <f>IF(L323="","",P323-O323)</f>
        <v/>
      </c>
      <c r="S323">
        <f>IF(N323="Win",N(S322)+1,0)</f>
        <v/>
      </c>
      <c r="T323">
        <f>IF(N323="Loss",N(T322)+1,0)</f>
        <v/>
      </c>
    </row>
    <row r="324">
      <c r="A324" s="5" t="n"/>
      <c r="B324" s="6" t="n"/>
      <c r="C324" s="6" t="n"/>
      <c r="D324" s="6" t="n"/>
      <c r="E324" s="7" t="n"/>
      <c r="F324" s="7" t="n"/>
      <c r="G324" s="6" t="n"/>
      <c r="H324" s="6" t="n"/>
      <c r="I324" s="7" t="n"/>
      <c r="J324" s="8" t="n"/>
      <c r="K324" s="6" t="n"/>
      <c r="L324" s="9">
        <f>IF(OR(E324="",F324=""),"",ROUND(IF(D324="Short",E324-F324,F324-E324)*G324*H324-I324,2))</f>
        <v/>
      </c>
      <c r="M324" s="10">
        <f>IF(OR(L324="",N(J324)&lt;=0),"",L324/J324)</f>
        <v/>
      </c>
      <c r="N324" s="11">
        <f>IF(L324="","",IF(L324&gt;0,"Win",IF(L324&lt;0,"Loss","Flat")))</f>
        <v/>
      </c>
      <c r="O324" s="9">
        <f>IF(L324="","",SUM($L$2:L324))</f>
        <v/>
      </c>
      <c r="P324" s="9">
        <f>IF(L324="","",MAX(0,MAX($O$2:O324)))</f>
        <v/>
      </c>
      <c r="Q324" s="9">
        <f>IF(L324="","",P324-O324)</f>
        <v/>
      </c>
      <c r="S324">
        <f>IF(N324="Win",N(S323)+1,0)</f>
        <v/>
      </c>
      <c r="T324">
        <f>IF(N324="Loss",N(T323)+1,0)</f>
        <v/>
      </c>
    </row>
    <row r="325">
      <c r="A325" s="5" t="n"/>
      <c r="B325" s="6" t="n"/>
      <c r="C325" s="6" t="n"/>
      <c r="D325" s="6" t="n"/>
      <c r="E325" s="7" t="n"/>
      <c r="F325" s="7" t="n"/>
      <c r="G325" s="6" t="n"/>
      <c r="H325" s="6" t="n"/>
      <c r="I325" s="7" t="n"/>
      <c r="J325" s="8" t="n"/>
      <c r="K325" s="6" t="n"/>
      <c r="L325" s="9">
        <f>IF(OR(E325="",F325=""),"",ROUND(IF(D325="Short",E325-F325,F325-E325)*G325*H325-I325,2))</f>
        <v/>
      </c>
      <c r="M325" s="10">
        <f>IF(OR(L325="",N(J325)&lt;=0),"",L325/J325)</f>
        <v/>
      </c>
      <c r="N325" s="11">
        <f>IF(L325="","",IF(L325&gt;0,"Win",IF(L325&lt;0,"Loss","Flat")))</f>
        <v/>
      </c>
      <c r="O325" s="9">
        <f>IF(L325="","",SUM($L$2:L325))</f>
        <v/>
      </c>
      <c r="P325" s="9">
        <f>IF(L325="","",MAX(0,MAX($O$2:O325)))</f>
        <v/>
      </c>
      <c r="Q325" s="9">
        <f>IF(L325="","",P325-O325)</f>
        <v/>
      </c>
      <c r="S325">
        <f>IF(N325="Win",N(S324)+1,0)</f>
        <v/>
      </c>
      <c r="T325">
        <f>IF(N325="Loss",N(T324)+1,0)</f>
        <v/>
      </c>
    </row>
    <row r="326">
      <c r="A326" s="5" t="n"/>
      <c r="B326" s="6" t="n"/>
      <c r="C326" s="6" t="n"/>
      <c r="D326" s="6" t="n"/>
      <c r="E326" s="7" t="n"/>
      <c r="F326" s="7" t="n"/>
      <c r="G326" s="6" t="n"/>
      <c r="H326" s="6" t="n"/>
      <c r="I326" s="7" t="n"/>
      <c r="J326" s="8" t="n"/>
      <c r="K326" s="6" t="n"/>
      <c r="L326" s="9">
        <f>IF(OR(E326="",F326=""),"",ROUND(IF(D326="Short",E326-F326,F326-E326)*G326*H326-I326,2))</f>
        <v/>
      </c>
      <c r="M326" s="10">
        <f>IF(OR(L326="",N(J326)&lt;=0),"",L326/J326)</f>
        <v/>
      </c>
      <c r="N326" s="11">
        <f>IF(L326="","",IF(L326&gt;0,"Win",IF(L326&lt;0,"Loss","Flat")))</f>
        <v/>
      </c>
      <c r="O326" s="9">
        <f>IF(L326="","",SUM($L$2:L326))</f>
        <v/>
      </c>
      <c r="P326" s="9">
        <f>IF(L326="","",MAX(0,MAX($O$2:O326)))</f>
        <v/>
      </c>
      <c r="Q326" s="9">
        <f>IF(L326="","",P326-O326)</f>
        <v/>
      </c>
      <c r="S326">
        <f>IF(N326="Win",N(S325)+1,0)</f>
        <v/>
      </c>
      <c r="T326">
        <f>IF(N326="Loss",N(T325)+1,0)</f>
        <v/>
      </c>
    </row>
    <row r="327">
      <c r="A327" s="5" t="n"/>
      <c r="B327" s="6" t="n"/>
      <c r="C327" s="6" t="n"/>
      <c r="D327" s="6" t="n"/>
      <c r="E327" s="7" t="n"/>
      <c r="F327" s="7" t="n"/>
      <c r="G327" s="6" t="n"/>
      <c r="H327" s="6" t="n"/>
      <c r="I327" s="7" t="n"/>
      <c r="J327" s="8" t="n"/>
      <c r="K327" s="6" t="n"/>
      <c r="L327" s="9">
        <f>IF(OR(E327="",F327=""),"",ROUND(IF(D327="Short",E327-F327,F327-E327)*G327*H327-I327,2))</f>
        <v/>
      </c>
      <c r="M327" s="10">
        <f>IF(OR(L327="",N(J327)&lt;=0),"",L327/J327)</f>
        <v/>
      </c>
      <c r="N327" s="11">
        <f>IF(L327="","",IF(L327&gt;0,"Win",IF(L327&lt;0,"Loss","Flat")))</f>
        <v/>
      </c>
      <c r="O327" s="9">
        <f>IF(L327="","",SUM($L$2:L327))</f>
        <v/>
      </c>
      <c r="P327" s="9">
        <f>IF(L327="","",MAX(0,MAX($O$2:O327)))</f>
        <v/>
      </c>
      <c r="Q327" s="9">
        <f>IF(L327="","",P327-O327)</f>
        <v/>
      </c>
      <c r="S327">
        <f>IF(N327="Win",N(S326)+1,0)</f>
        <v/>
      </c>
      <c r="T327">
        <f>IF(N327="Loss",N(T326)+1,0)</f>
        <v/>
      </c>
    </row>
    <row r="328">
      <c r="A328" s="5" t="n"/>
      <c r="B328" s="6" t="n"/>
      <c r="C328" s="6" t="n"/>
      <c r="D328" s="6" t="n"/>
      <c r="E328" s="7" t="n"/>
      <c r="F328" s="7" t="n"/>
      <c r="G328" s="6" t="n"/>
      <c r="H328" s="6" t="n"/>
      <c r="I328" s="7" t="n"/>
      <c r="J328" s="8" t="n"/>
      <c r="K328" s="6" t="n"/>
      <c r="L328" s="9">
        <f>IF(OR(E328="",F328=""),"",ROUND(IF(D328="Short",E328-F328,F328-E328)*G328*H328-I328,2))</f>
        <v/>
      </c>
      <c r="M328" s="10">
        <f>IF(OR(L328="",N(J328)&lt;=0),"",L328/J328)</f>
        <v/>
      </c>
      <c r="N328" s="11">
        <f>IF(L328="","",IF(L328&gt;0,"Win",IF(L328&lt;0,"Loss","Flat")))</f>
        <v/>
      </c>
      <c r="O328" s="9">
        <f>IF(L328="","",SUM($L$2:L328))</f>
        <v/>
      </c>
      <c r="P328" s="9">
        <f>IF(L328="","",MAX(0,MAX($O$2:O328)))</f>
        <v/>
      </c>
      <c r="Q328" s="9">
        <f>IF(L328="","",P328-O328)</f>
        <v/>
      </c>
      <c r="S328">
        <f>IF(N328="Win",N(S327)+1,0)</f>
        <v/>
      </c>
      <c r="T328">
        <f>IF(N328="Loss",N(T327)+1,0)</f>
        <v/>
      </c>
    </row>
    <row r="329">
      <c r="A329" s="5" t="n"/>
      <c r="B329" s="6" t="n"/>
      <c r="C329" s="6" t="n"/>
      <c r="D329" s="6" t="n"/>
      <c r="E329" s="7" t="n"/>
      <c r="F329" s="7" t="n"/>
      <c r="G329" s="6" t="n"/>
      <c r="H329" s="6" t="n"/>
      <c r="I329" s="7" t="n"/>
      <c r="J329" s="8" t="n"/>
      <c r="K329" s="6" t="n"/>
      <c r="L329" s="9">
        <f>IF(OR(E329="",F329=""),"",ROUND(IF(D329="Short",E329-F329,F329-E329)*G329*H329-I329,2))</f>
        <v/>
      </c>
      <c r="M329" s="10">
        <f>IF(OR(L329="",N(J329)&lt;=0),"",L329/J329)</f>
        <v/>
      </c>
      <c r="N329" s="11">
        <f>IF(L329="","",IF(L329&gt;0,"Win",IF(L329&lt;0,"Loss","Flat")))</f>
        <v/>
      </c>
      <c r="O329" s="9">
        <f>IF(L329="","",SUM($L$2:L329))</f>
        <v/>
      </c>
      <c r="P329" s="9">
        <f>IF(L329="","",MAX(0,MAX($O$2:O329)))</f>
        <v/>
      </c>
      <c r="Q329" s="9">
        <f>IF(L329="","",P329-O329)</f>
        <v/>
      </c>
      <c r="S329">
        <f>IF(N329="Win",N(S328)+1,0)</f>
        <v/>
      </c>
      <c r="T329">
        <f>IF(N329="Loss",N(T328)+1,0)</f>
        <v/>
      </c>
    </row>
    <row r="330">
      <c r="A330" s="5" t="n"/>
      <c r="B330" s="6" t="n"/>
      <c r="C330" s="6" t="n"/>
      <c r="D330" s="6" t="n"/>
      <c r="E330" s="7" t="n"/>
      <c r="F330" s="7" t="n"/>
      <c r="G330" s="6" t="n"/>
      <c r="H330" s="6" t="n"/>
      <c r="I330" s="7" t="n"/>
      <c r="J330" s="8" t="n"/>
      <c r="K330" s="6" t="n"/>
      <c r="L330" s="9">
        <f>IF(OR(E330="",F330=""),"",ROUND(IF(D330="Short",E330-F330,F330-E330)*G330*H330-I330,2))</f>
        <v/>
      </c>
      <c r="M330" s="10">
        <f>IF(OR(L330="",N(J330)&lt;=0),"",L330/J330)</f>
        <v/>
      </c>
      <c r="N330" s="11">
        <f>IF(L330="","",IF(L330&gt;0,"Win",IF(L330&lt;0,"Loss","Flat")))</f>
        <v/>
      </c>
      <c r="O330" s="9">
        <f>IF(L330="","",SUM($L$2:L330))</f>
        <v/>
      </c>
      <c r="P330" s="9">
        <f>IF(L330="","",MAX(0,MAX($O$2:O330)))</f>
        <v/>
      </c>
      <c r="Q330" s="9">
        <f>IF(L330="","",P330-O330)</f>
        <v/>
      </c>
      <c r="S330">
        <f>IF(N330="Win",N(S329)+1,0)</f>
        <v/>
      </c>
      <c r="T330">
        <f>IF(N330="Loss",N(T329)+1,0)</f>
        <v/>
      </c>
    </row>
    <row r="331">
      <c r="A331" s="5" t="n"/>
      <c r="B331" s="6" t="n"/>
      <c r="C331" s="6" t="n"/>
      <c r="D331" s="6" t="n"/>
      <c r="E331" s="7" t="n"/>
      <c r="F331" s="7" t="n"/>
      <c r="G331" s="6" t="n"/>
      <c r="H331" s="6" t="n"/>
      <c r="I331" s="7" t="n"/>
      <c r="J331" s="8" t="n"/>
      <c r="K331" s="6" t="n"/>
      <c r="L331" s="9">
        <f>IF(OR(E331="",F331=""),"",ROUND(IF(D331="Short",E331-F331,F331-E331)*G331*H331-I331,2))</f>
        <v/>
      </c>
      <c r="M331" s="10">
        <f>IF(OR(L331="",N(J331)&lt;=0),"",L331/J331)</f>
        <v/>
      </c>
      <c r="N331" s="11">
        <f>IF(L331="","",IF(L331&gt;0,"Win",IF(L331&lt;0,"Loss","Flat")))</f>
        <v/>
      </c>
      <c r="O331" s="9">
        <f>IF(L331="","",SUM($L$2:L331))</f>
        <v/>
      </c>
      <c r="P331" s="9">
        <f>IF(L331="","",MAX(0,MAX($O$2:O331)))</f>
        <v/>
      </c>
      <c r="Q331" s="9">
        <f>IF(L331="","",P331-O331)</f>
        <v/>
      </c>
      <c r="S331">
        <f>IF(N331="Win",N(S330)+1,0)</f>
        <v/>
      </c>
      <c r="T331">
        <f>IF(N331="Loss",N(T330)+1,0)</f>
        <v/>
      </c>
    </row>
    <row r="332">
      <c r="A332" s="5" t="n"/>
      <c r="B332" s="6" t="n"/>
      <c r="C332" s="6" t="n"/>
      <c r="D332" s="6" t="n"/>
      <c r="E332" s="7" t="n"/>
      <c r="F332" s="7" t="n"/>
      <c r="G332" s="6" t="n"/>
      <c r="H332" s="6" t="n"/>
      <c r="I332" s="7" t="n"/>
      <c r="J332" s="8" t="n"/>
      <c r="K332" s="6" t="n"/>
      <c r="L332" s="9">
        <f>IF(OR(E332="",F332=""),"",ROUND(IF(D332="Short",E332-F332,F332-E332)*G332*H332-I332,2))</f>
        <v/>
      </c>
      <c r="M332" s="10">
        <f>IF(OR(L332="",N(J332)&lt;=0),"",L332/J332)</f>
        <v/>
      </c>
      <c r="N332" s="11">
        <f>IF(L332="","",IF(L332&gt;0,"Win",IF(L332&lt;0,"Loss","Flat")))</f>
        <v/>
      </c>
      <c r="O332" s="9">
        <f>IF(L332="","",SUM($L$2:L332))</f>
        <v/>
      </c>
      <c r="P332" s="9">
        <f>IF(L332="","",MAX(0,MAX($O$2:O332)))</f>
        <v/>
      </c>
      <c r="Q332" s="9">
        <f>IF(L332="","",P332-O332)</f>
        <v/>
      </c>
      <c r="S332">
        <f>IF(N332="Win",N(S331)+1,0)</f>
        <v/>
      </c>
      <c r="T332">
        <f>IF(N332="Loss",N(T331)+1,0)</f>
        <v/>
      </c>
    </row>
    <row r="333">
      <c r="A333" s="5" t="n"/>
      <c r="B333" s="6" t="n"/>
      <c r="C333" s="6" t="n"/>
      <c r="D333" s="6" t="n"/>
      <c r="E333" s="7" t="n"/>
      <c r="F333" s="7" t="n"/>
      <c r="G333" s="6" t="n"/>
      <c r="H333" s="6" t="n"/>
      <c r="I333" s="7" t="n"/>
      <c r="J333" s="8" t="n"/>
      <c r="K333" s="6" t="n"/>
      <c r="L333" s="9">
        <f>IF(OR(E333="",F333=""),"",ROUND(IF(D333="Short",E333-F333,F333-E333)*G333*H333-I333,2))</f>
        <v/>
      </c>
      <c r="M333" s="10">
        <f>IF(OR(L333="",N(J333)&lt;=0),"",L333/J333)</f>
        <v/>
      </c>
      <c r="N333" s="11">
        <f>IF(L333="","",IF(L333&gt;0,"Win",IF(L333&lt;0,"Loss","Flat")))</f>
        <v/>
      </c>
      <c r="O333" s="9">
        <f>IF(L333="","",SUM($L$2:L333))</f>
        <v/>
      </c>
      <c r="P333" s="9">
        <f>IF(L333="","",MAX(0,MAX($O$2:O333)))</f>
        <v/>
      </c>
      <c r="Q333" s="9">
        <f>IF(L333="","",P333-O333)</f>
        <v/>
      </c>
      <c r="S333">
        <f>IF(N333="Win",N(S332)+1,0)</f>
        <v/>
      </c>
      <c r="T333">
        <f>IF(N333="Loss",N(T332)+1,0)</f>
        <v/>
      </c>
    </row>
    <row r="334">
      <c r="A334" s="5" t="n"/>
      <c r="B334" s="6" t="n"/>
      <c r="C334" s="6" t="n"/>
      <c r="D334" s="6" t="n"/>
      <c r="E334" s="7" t="n"/>
      <c r="F334" s="7" t="n"/>
      <c r="G334" s="6" t="n"/>
      <c r="H334" s="6" t="n"/>
      <c r="I334" s="7" t="n"/>
      <c r="J334" s="8" t="n"/>
      <c r="K334" s="6" t="n"/>
      <c r="L334" s="9">
        <f>IF(OR(E334="",F334=""),"",ROUND(IF(D334="Short",E334-F334,F334-E334)*G334*H334-I334,2))</f>
        <v/>
      </c>
      <c r="M334" s="10">
        <f>IF(OR(L334="",N(J334)&lt;=0),"",L334/J334)</f>
        <v/>
      </c>
      <c r="N334" s="11">
        <f>IF(L334="","",IF(L334&gt;0,"Win",IF(L334&lt;0,"Loss","Flat")))</f>
        <v/>
      </c>
      <c r="O334" s="9">
        <f>IF(L334="","",SUM($L$2:L334))</f>
        <v/>
      </c>
      <c r="P334" s="9">
        <f>IF(L334="","",MAX(0,MAX($O$2:O334)))</f>
        <v/>
      </c>
      <c r="Q334" s="9">
        <f>IF(L334="","",P334-O334)</f>
        <v/>
      </c>
      <c r="S334">
        <f>IF(N334="Win",N(S333)+1,0)</f>
        <v/>
      </c>
      <c r="T334">
        <f>IF(N334="Loss",N(T333)+1,0)</f>
        <v/>
      </c>
    </row>
    <row r="335">
      <c r="A335" s="5" t="n"/>
      <c r="B335" s="6" t="n"/>
      <c r="C335" s="6" t="n"/>
      <c r="D335" s="6" t="n"/>
      <c r="E335" s="7" t="n"/>
      <c r="F335" s="7" t="n"/>
      <c r="G335" s="6" t="n"/>
      <c r="H335" s="6" t="n"/>
      <c r="I335" s="7" t="n"/>
      <c r="J335" s="8" t="n"/>
      <c r="K335" s="6" t="n"/>
      <c r="L335" s="9">
        <f>IF(OR(E335="",F335=""),"",ROUND(IF(D335="Short",E335-F335,F335-E335)*G335*H335-I335,2))</f>
        <v/>
      </c>
      <c r="M335" s="10">
        <f>IF(OR(L335="",N(J335)&lt;=0),"",L335/J335)</f>
        <v/>
      </c>
      <c r="N335" s="11">
        <f>IF(L335="","",IF(L335&gt;0,"Win",IF(L335&lt;0,"Loss","Flat")))</f>
        <v/>
      </c>
      <c r="O335" s="9">
        <f>IF(L335="","",SUM($L$2:L335))</f>
        <v/>
      </c>
      <c r="P335" s="9">
        <f>IF(L335="","",MAX(0,MAX($O$2:O335)))</f>
        <v/>
      </c>
      <c r="Q335" s="9">
        <f>IF(L335="","",P335-O335)</f>
        <v/>
      </c>
      <c r="S335">
        <f>IF(N335="Win",N(S334)+1,0)</f>
        <v/>
      </c>
      <c r="T335">
        <f>IF(N335="Loss",N(T334)+1,0)</f>
        <v/>
      </c>
    </row>
    <row r="336">
      <c r="A336" s="5" t="n"/>
      <c r="B336" s="6" t="n"/>
      <c r="C336" s="6" t="n"/>
      <c r="D336" s="6" t="n"/>
      <c r="E336" s="7" t="n"/>
      <c r="F336" s="7" t="n"/>
      <c r="G336" s="6" t="n"/>
      <c r="H336" s="6" t="n"/>
      <c r="I336" s="7" t="n"/>
      <c r="J336" s="8" t="n"/>
      <c r="K336" s="6" t="n"/>
      <c r="L336" s="9">
        <f>IF(OR(E336="",F336=""),"",ROUND(IF(D336="Short",E336-F336,F336-E336)*G336*H336-I336,2))</f>
        <v/>
      </c>
      <c r="M336" s="10">
        <f>IF(OR(L336="",N(J336)&lt;=0),"",L336/J336)</f>
        <v/>
      </c>
      <c r="N336" s="11">
        <f>IF(L336="","",IF(L336&gt;0,"Win",IF(L336&lt;0,"Loss","Flat")))</f>
        <v/>
      </c>
      <c r="O336" s="9">
        <f>IF(L336="","",SUM($L$2:L336))</f>
        <v/>
      </c>
      <c r="P336" s="9">
        <f>IF(L336="","",MAX(0,MAX($O$2:O336)))</f>
        <v/>
      </c>
      <c r="Q336" s="9">
        <f>IF(L336="","",P336-O336)</f>
        <v/>
      </c>
      <c r="S336">
        <f>IF(N336="Win",N(S335)+1,0)</f>
        <v/>
      </c>
      <c r="T336">
        <f>IF(N336="Loss",N(T335)+1,0)</f>
        <v/>
      </c>
    </row>
    <row r="337">
      <c r="A337" s="5" t="n"/>
      <c r="B337" s="6" t="n"/>
      <c r="C337" s="6" t="n"/>
      <c r="D337" s="6" t="n"/>
      <c r="E337" s="7" t="n"/>
      <c r="F337" s="7" t="n"/>
      <c r="G337" s="6" t="n"/>
      <c r="H337" s="6" t="n"/>
      <c r="I337" s="7" t="n"/>
      <c r="J337" s="8" t="n"/>
      <c r="K337" s="6" t="n"/>
      <c r="L337" s="9">
        <f>IF(OR(E337="",F337=""),"",ROUND(IF(D337="Short",E337-F337,F337-E337)*G337*H337-I337,2))</f>
        <v/>
      </c>
      <c r="M337" s="10">
        <f>IF(OR(L337="",N(J337)&lt;=0),"",L337/J337)</f>
        <v/>
      </c>
      <c r="N337" s="11">
        <f>IF(L337="","",IF(L337&gt;0,"Win",IF(L337&lt;0,"Loss","Flat")))</f>
        <v/>
      </c>
      <c r="O337" s="9">
        <f>IF(L337="","",SUM($L$2:L337))</f>
        <v/>
      </c>
      <c r="P337" s="9">
        <f>IF(L337="","",MAX(0,MAX($O$2:O337)))</f>
        <v/>
      </c>
      <c r="Q337" s="9">
        <f>IF(L337="","",P337-O337)</f>
        <v/>
      </c>
      <c r="S337">
        <f>IF(N337="Win",N(S336)+1,0)</f>
        <v/>
      </c>
      <c r="T337">
        <f>IF(N337="Loss",N(T336)+1,0)</f>
        <v/>
      </c>
    </row>
    <row r="338">
      <c r="A338" s="5" t="n"/>
      <c r="B338" s="6" t="n"/>
      <c r="C338" s="6" t="n"/>
      <c r="D338" s="6" t="n"/>
      <c r="E338" s="7" t="n"/>
      <c r="F338" s="7" t="n"/>
      <c r="G338" s="6" t="n"/>
      <c r="H338" s="6" t="n"/>
      <c r="I338" s="7" t="n"/>
      <c r="J338" s="8" t="n"/>
      <c r="K338" s="6" t="n"/>
      <c r="L338" s="9">
        <f>IF(OR(E338="",F338=""),"",ROUND(IF(D338="Short",E338-F338,F338-E338)*G338*H338-I338,2))</f>
        <v/>
      </c>
      <c r="M338" s="10">
        <f>IF(OR(L338="",N(J338)&lt;=0),"",L338/J338)</f>
        <v/>
      </c>
      <c r="N338" s="11">
        <f>IF(L338="","",IF(L338&gt;0,"Win",IF(L338&lt;0,"Loss","Flat")))</f>
        <v/>
      </c>
      <c r="O338" s="9">
        <f>IF(L338="","",SUM($L$2:L338))</f>
        <v/>
      </c>
      <c r="P338" s="9">
        <f>IF(L338="","",MAX(0,MAX($O$2:O338)))</f>
        <v/>
      </c>
      <c r="Q338" s="9">
        <f>IF(L338="","",P338-O338)</f>
        <v/>
      </c>
      <c r="S338">
        <f>IF(N338="Win",N(S337)+1,0)</f>
        <v/>
      </c>
      <c r="T338">
        <f>IF(N338="Loss",N(T337)+1,0)</f>
        <v/>
      </c>
    </row>
    <row r="339">
      <c r="A339" s="5" t="n"/>
      <c r="B339" s="6" t="n"/>
      <c r="C339" s="6" t="n"/>
      <c r="D339" s="6" t="n"/>
      <c r="E339" s="7" t="n"/>
      <c r="F339" s="7" t="n"/>
      <c r="G339" s="6" t="n"/>
      <c r="H339" s="6" t="n"/>
      <c r="I339" s="7" t="n"/>
      <c r="J339" s="8" t="n"/>
      <c r="K339" s="6" t="n"/>
      <c r="L339" s="9">
        <f>IF(OR(E339="",F339=""),"",ROUND(IF(D339="Short",E339-F339,F339-E339)*G339*H339-I339,2))</f>
        <v/>
      </c>
      <c r="M339" s="10">
        <f>IF(OR(L339="",N(J339)&lt;=0),"",L339/J339)</f>
        <v/>
      </c>
      <c r="N339" s="11">
        <f>IF(L339="","",IF(L339&gt;0,"Win",IF(L339&lt;0,"Loss","Flat")))</f>
        <v/>
      </c>
      <c r="O339" s="9">
        <f>IF(L339="","",SUM($L$2:L339))</f>
        <v/>
      </c>
      <c r="P339" s="9">
        <f>IF(L339="","",MAX(0,MAX($O$2:O339)))</f>
        <v/>
      </c>
      <c r="Q339" s="9">
        <f>IF(L339="","",P339-O339)</f>
        <v/>
      </c>
      <c r="S339">
        <f>IF(N339="Win",N(S338)+1,0)</f>
        <v/>
      </c>
      <c r="T339">
        <f>IF(N339="Loss",N(T338)+1,0)</f>
        <v/>
      </c>
    </row>
    <row r="340">
      <c r="A340" s="5" t="n"/>
      <c r="B340" s="6" t="n"/>
      <c r="C340" s="6" t="n"/>
      <c r="D340" s="6" t="n"/>
      <c r="E340" s="7" t="n"/>
      <c r="F340" s="7" t="n"/>
      <c r="G340" s="6" t="n"/>
      <c r="H340" s="6" t="n"/>
      <c r="I340" s="7" t="n"/>
      <c r="J340" s="8" t="n"/>
      <c r="K340" s="6" t="n"/>
      <c r="L340" s="9">
        <f>IF(OR(E340="",F340=""),"",ROUND(IF(D340="Short",E340-F340,F340-E340)*G340*H340-I340,2))</f>
        <v/>
      </c>
      <c r="M340" s="10">
        <f>IF(OR(L340="",N(J340)&lt;=0),"",L340/J340)</f>
        <v/>
      </c>
      <c r="N340" s="11">
        <f>IF(L340="","",IF(L340&gt;0,"Win",IF(L340&lt;0,"Loss","Flat")))</f>
        <v/>
      </c>
      <c r="O340" s="9">
        <f>IF(L340="","",SUM($L$2:L340))</f>
        <v/>
      </c>
      <c r="P340" s="9">
        <f>IF(L340="","",MAX(0,MAX($O$2:O340)))</f>
        <v/>
      </c>
      <c r="Q340" s="9">
        <f>IF(L340="","",P340-O340)</f>
        <v/>
      </c>
      <c r="S340">
        <f>IF(N340="Win",N(S339)+1,0)</f>
        <v/>
      </c>
      <c r="T340">
        <f>IF(N340="Loss",N(T339)+1,0)</f>
        <v/>
      </c>
    </row>
    <row r="341">
      <c r="A341" s="5" t="n"/>
      <c r="B341" s="6" t="n"/>
      <c r="C341" s="6" t="n"/>
      <c r="D341" s="6" t="n"/>
      <c r="E341" s="7" t="n"/>
      <c r="F341" s="7" t="n"/>
      <c r="G341" s="6" t="n"/>
      <c r="H341" s="6" t="n"/>
      <c r="I341" s="7" t="n"/>
      <c r="J341" s="8" t="n"/>
      <c r="K341" s="6" t="n"/>
      <c r="L341" s="9">
        <f>IF(OR(E341="",F341=""),"",ROUND(IF(D341="Short",E341-F341,F341-E341)*G341*H341-I341,2))</f>
        <v/>
      </c>
      <c r="M341" s="10">
        <f>IF(OR(L341="",N(J341)&lt;=0),"",L341/J341)</f>
        <v/>
      </c>
      <c r="N341" s="11">
        <f>IF(L341="","",IF(L341&gt;0,"Win",IF(L341&lt;0,"Loss","Flat")))</f>
        <v/>
      </c>
      <c r="O341" s="9">
        <f>IF(L341="","",SUM($L$2:L341))</f>
        <v/>
      </c>
      <c r="P341" s="9">
        <f>IF(L341="","",MAX(0,MAX($O$2:O341)))</f>
        <v/>
      </c>
      <c r="Q341" s="9">
        <f>IF(L341="","",P341-O341)</f>
        <v/>
      </c>
      <c r="S341">
        <f>IF(N341="Win",N(S340)+1,0)</f>
        <v/>
      </c>
      <c r="T341">
        <f>IF(N341="Loss",N(T340)+1,0)</f>
        <v/>
      </c>
    </row>
    <row r="342">
      <c r="A342" s="5" t="n"/>
      <c r="B342" s="6" t="n"/>
      <c r="C342" s="6" t="n"/>
      <c r="D342" s="6" t="n"/>
      <c r="E342" s="7" t="n"/>
      <c r="F342" s="7" t="n"/>
      <c r="G342" s="6" t="n"/>
      <c r="H342" s="6" t="n"/>
      <c r="I342" s="7" t="n"/>
      <c r="J342" s="8" t="n"/>
      <c r="K342" s="6" t="n"/>
      <c r="L342" s="9">
        <f>IF(OR(E342="",F342=""),"",ROUND(IF(D342="Short",E342-F342,F342-E342)*G342*H342-I342,2))</f>
        <v/>
      </c>
      <c r="M342" s="10">
        <f>IF(OR(L342="",N(J342)&lt;=0),"",L342/J342)</f>
        <v/>
      </c>
      <c r="N342" s="11">
        <f>IF(L342="","",IF(L342&gt;0,"Win",IF(L342&lt;0,"Loss","Flat")))</f>
        <v/>
      </c>
      <c r="O342" s="9">
        <f>IF(L342="","",SUM($L$2:L342))</f>
        <v/>
      </c>
      <c r="P342" s="9">
        <f>IF(L342="","",MAX(0,MAX($O$2:O342)))</f>
        <v/>
      </c>
      <c r="Q342" s="9">
        <f>IF(L342="","",P342-O342)</f>
        <v/>
      </c>
      <c r="S342">
        <f>IF(N342="Win",N(S341)+1,0)</f>
        <v/>
      </c>
      <c r="T342">
        <f>IF(N342="Loss",N(T341)+1,0)</f>
        <v/>
      </c>
    </row>
    <row r="343">
      <c r="A343" s="5" t="n"/>
      <c r="B343" s="6" t="n"/>
      <c r="C343" s="6" t="n"/>
      <c r="D343" s="6" t="n"/>
      <c r="E343" s="7" t="n"/>
      <c r="F343" s="7" t="n"/>
      <c r="G343" s="6" t="n"/>
      <c r="H343" s="6" t="n"/>
      <c r="I343" s="7" t="n"/>
      <c r="J343" s="8" t="n"/>
      <c r="K343" s="6" t="n"/>
      <c r="L343" s="9">
        <f>IF(OR(E343="",F343=""),"",ROUND(IF(D343="Short",E343-F343,F343-E343)*G343*H343-I343,2))</f>
        <v/>
      </c>
      <c r="M343" s="10">
        <f>IF(OR(L343="",N(J343)&lt;=0),"",L343/J343)</f>
        <v/>
      </c>
      <c r="N343" s="11">
        <f>IF(L343="","",IF(L343&gt;0,"Win",IF(L343&lt;0,"Loss","Flat")))</f>
        <v/>
      </c>
      <c r="O343" s="9">
        <f>IF(L343="","",SUM($L$2:L343))</f>
        <v/>
      </c>
      <c r="P343" s="9">
        <f>IF(L343="","",MAX(0,MAX($O$2:O343)))</f>
        <v/>
      </c>
      <c r="Q343" s="9">
        <f>IF(L343="","",P343-O343)</f>
        <v/>
      </c>
      <c r="S343">
        <f>IF(N343="Win",N(S342)+1,0)</f>
        <v/>
      </c>
      <c r="T343">
        <f>IF(N343="Loss",N(T342)+1,0)</f>
        <v/>
      </c>
    </row>
    <row r="344">
      <c r="A344" s="5" t="n"/>
      <c r="B344" s="6" t="n"/>
      <c r="C344" s="6" t="n"/>
      <c r="D344" s="6" t="n"/>
      <c r="E344" s="7" t="n"/>
      <c r="F344" s="7" t="n"/>
      <c r="G344" s="6" t="n"/>
      <c r="H344" s="6" t="n"/>
      <c r="I344" s="7" t="n"/>
      <c r="J344" s="8" t="n"/>
      <c r="K344" s="6" t="n"/>
      <c r="L344" s="9">
        <f>IF(OR(E344="",F344=""),"",ROUND(IF(D344="Short",E344-F344,F344-E344)*G344*H344-I344,2))</f>
        <v/>
      </c>
      <c r="M344" s="10">
        <f>IF(OR(L344="",N(J344)&lt;=0),"",L344/J344)</f>
        <v/>
      </c>
      <c r="N344" s="11">
        <f>IF(L344="","",IF(L344&gt;0,"Win",IF(L344&lt;0,"Loss","Flat")))</f>
        <v/>
      </c>
      <c r="O344" s="9">
        <f>IF(L344="","",SUM($L$2:L344))</f>
        <v/>
      </c>
      <c r="P344" s="9">
        <f>IF(L344="","",MAX(0,MAX($O$2:O344)))</f>
        <v/>
      </c>
      <c r="Q344" s="9">
        <f>IF(L344="","",P344-O344)</f>
        <v/>
      </c>
      <c r="S344">
        <f>IF(N344="Win",N(S343)+1,0)</f>
        <v/>
      </c>
      <c r="T344">
        <f>IF(N344="Loss",N(T343)+1,0)</f>
        <v/>
      </c>
    </row>
    <row r="345">
      <c r="A345" s="5" t="n"/>
      <c r="B345" s="6" t="n"/>
      <c r="C345" s="6" t="n"/>
      <c r="D345" s="6" t="n"/>
      <c r="E345" s="7" t="n"/>
      <c r="F345" s="7" t="n"/>
      <c r="G345" s="6" t="n"/>
      <c r="H345" s="6" t="n"/>
      <c r="I345" s="7" t="n"/>
      <c r="J345" s="8" t="n"/>
      <c r="K345" s="6" t="n"/>
      <c r="L345" s="9">
        <f>IF(OR(E345="",F345=""),"",ROUND(IF(D345="Short",E345-F345,F345-E345)*G345*H345-I345,2))</f>
        <v/>
      </c>
      <c r="M345" s="10">
        <f>IF(OR(L345="",N(J345)&lt;=0),"",L345/J345)</f>
        <v/>
      </c>
      <c r="N345" s="11">
        <f>IF(L345="","",IF(L345&gt;0,"Win",IF(L345&lt;0,"Loss","Flat")))</f>
        <v/>
      </c>
      <c r="O345" s="9">
        <f>IF(L345="","",SUM($L$2:L345))</f>
        <v/>
      </c>
      <c r="P345" s="9">
        <f>IF(L345="","",MAX(0,MAX($O$2:O345)))</f>
        <v/>
      </c>
      <c r="Q345" s="9">
        <f>IF(L345="","",P345-O345)</f>
        <v/>
      </c>
      <c r="S345">
        <f>IF(N345="Win",N(S344)+1,0)</f>
        <v/>
      </c>
      <c r="T345">
        <f>IF(N345="Loss",N(T344)+1,0)</f>
        <v/>
      </c>
    </row>
    <row r="346">
      <c r="A346" s="5" t="n"/>
      <c r="B346" s="6" t="n"/>
      <c r="C346" s="6" t="n"/>
      <c r="D346" s="6" t="n"/>
      <c r="E346" s="7" t="n"/>
      <c r="F346" s="7" t="n"/>
      <c r="G346" s="6" t="n"/>
      <c r="H346" s="6" t="n"/>
      <c r="I346" s="7" t="n"/>
      <c r="J346" s="8" t="n"/>
      <c r="K346" s="6" t="n"/>
      <c r="L346" s="9">
        <f>IF(OR(E346="",F346=""),"",ROUND(IF(D346="Short",E346-F346,F346-E346)*G346*H346-I346,2))</f>
        <v/>
      </c>
      <c r="M346" s="10">
        <f>IF(OR(L346="",N(J346)&lt;=0),"",L346/J346)</f>
        <v/>
      </c>
      <c r="N346" s="11">
        <f>IF(L346="","",IF(L346&gt;0,"Win",IF(L346&lt;0,"Loss","Flat")))</f>
        <v/>
      </c>
      <c r="O346" s="9">
        <f>IF(L346="","",SUM($L$2:L346))</f>
        <v/>
      </c>
      <c r="P346" s="9">
        <f>IF(L346="","",MAX(0,MAX($O$2:O346)))</f>
        <v/>
      </c>
      <c r="Q346" s="9">
        <f>IF(L346="","",P346-O346)</f>
        <v/>
      </c>
      <c r="S346">
        <f>IF(N346="Win",N(S345)+1,0)</f>
        <v/>
      </c>
      <c r="T346">
        <f>IF(N346="Loss",N(T345)+1,0)</f>
        <v/>
      </c>
    </row>
    <row r="347">
      <c r="A347" s="5" t="n"/>
      <c r="B347" s="6" t="n"/>
      <c r="C347" s="6" t="n"/>
      <c r="D347" s="6" t="n"/>
      <c r="E347" s="7" t="n"/>
      <c r="F347" s="7" t="n"/>
      <c r="G347" s="6" t="n"/>
      <c r="H347" s="6" t="n"/>
      <c r="I347" s="7" t="n"/>
      <c r="J347" s="8" t="n"/>
      <c r="K347" s="6" t="n"/>
      <c r="L347" s="9">
        <f>IF(OR(E347="",F347=""),"",ROUND(IF(D347="Short",E347-F347,F347-E347)*G347*H347-I347,2))</f>
        <v/>
      </c>
      <c r="M347" s="10">
        <f>IF(OR(L347="",N(J347)&lt;=0),"",L347/J347)</f>
        <v/>
      </c>
      <c r="N347" s="11">
        <f>IF(L347="","",IF(L347&gt;0,"Win",IF(L347&lt;0,"Loss","Flat")))</f>
        <v/>
      </c>
      <c r="O347" s="9">
        <f>IF(L347="","",SUM($L$2:L347))</f>
        <v/>
      </c>
      <c r="P347" s="9">
        <f>IF(L347="","",MAX(0,MAX($O$2:O347)))</f>
        <v/>
      </c>
      <c r="Q347" s="9">
        <f>IF(L347="","",P347-O347)</f>
        <v/>
      </c>
      <c r="S347">
        <f>IF(N347="Win",N(S346)+1,0)</f>
        <v/>
      </c>
      <c r="T347">
        <f>IF(N347="Loss",N(T346)+1,0)</f>
        <v/>
      </c>
    </row>
    <row r="348">
      <c r="A348" s="5" t="n"/>
      <c r="B348" s="6" t="n"/>
      <c r="C348" s="6" t="n"/>
      <c r="D348" s="6" t="n"/>
      <c r="E348" s="7" t="n"/>
      <c r="F348" s="7" t="n"/>
      <c r="G348" s="6" t="n"/>
      <c r="H348" s="6" t="n"/>
      <c r="I348" s="7" t="n"/>
      <c r="J348" s="8" t="n"/>
      <c r="K348" s="6" t="n"/>
      <c r="L348" s="9">
        <f>IF(OR(E348="",F348=""),"",ROUND(IF(D348="Short",E348-F348,F348-E348)*G348*H348-I348,2))</f>
        <v/>
      </c>
      <c r="M348" s="10">
        <f>IF(OR(L348="",N(J348)&lt;=0),"",L348/J348)</f>
        <v/>
      </c>
      <c r="N348" s="11">
        <f>IF(L348="","",IF(L348&gt;0,"Win",IF(L348&lt;0,"Loss","Flat")))</f>
        <v/>
      </c>
      <c r="O348" s="9">
        <f>IF(L348="","",SUM($L$2:L348))</f>
        <v/>
      </c>
      <c r="P348" s="9">
        <f>IF(L348="","",MAX(0,MAX($O$2:O348)))</f>
        <v/>
      </c>
      <c r="Q348" s="9">
        <f>IF(L348="","",P348-O348)</f>
        <v/>
      </c>
      <c r="S348">
        <f>IF(N348="Win",N(S347)+1,0)</f>
        <v/>
      </c>
      <c r="T348">
        <f>IF(N348="Loss",N(T347)+1,0)</f>
        <v/>
      </c>
    </row>
    <row r="349">
      <c r="A349" s="5" t="n"/>
      <c r="B349" s="6" t="n"/>
      <c r="C349" s="6" t="n"/>
      <c r="D349" s="6" t="n"/>
      <c r="E349" s="7" t="n"/>
      <c r="F349" s="7" t="n"/>
      <c r="G349" s="6" t="n"/>
      <c r="H349" s="6" t="n"/>
      <c r="I349" s="7" t="n"/>
      <c r="J349" s="8" t="n"/>
      <c r="K349" s="6" t="n"/>
      <c r="L349" s="9">
        <f>IF(OR(E349="",F349=""),"",ROUND(IF(D349="Short",E349-F349,F349-E349)*G349*H349-I349,2))</f>
        <v/>
      </c>
      <c r="M349" s="10">
        <f>IF(OR(L349="",N(J349)&lt;=0),"",L349/J349)</f>
        <v/>
      </c>
      <c r="N349" s="11">
        <f>IF(L349="","",IF(L349&gt;0,"Win",IF(L349&lt;0,"Loss","Flat")))</f>
        <v/>
      </c>
      <c r="O349" s="9">
        <f>IF(L349="","",SUM($L$2:L349))</f>
        <v/>
      </c>
      <c r="P349" s="9">
        <f>IF(L349="","",MAX(0,MAX($O$2:O349)))</f>
        <v/>
      </c>
      <c r="Q349" s="9">
        <f>IF(L349="","",P349-O349)</f>
        <v/>
      </c>
      <c r="S349">
        <f>IF(N349="Win",N(S348)+1,0)</f>
        <v/>
      </c>
      <c r="T349">
        <f>IF(N349="Loss",N(T348)+1,0)</f>
        <v/>
      </c>
    </row>
    <row r="350">
      <c r="A350" s="5" t="n"/>
      <c r="B350" s="6" t="n"/>
      <c r="C350" s="6" t="n"/>
      <c r="D350" s="6" t="n"/>
      <c r="E350" s="7" t="n"/>
      <c r="F350" s="7" t="n"/>
      <c r="G350" s="6" t="n"/>
      <c r="H350" s="6" t="n"/>
      <c r="I350" s="7" t="n"/>
      <c r="J350" s="8" t="n"/>
      <c r="K350" s="6" t="n"/>
      <c r="L350" s="9">
        <f>IF(OR(E350="",F350=""),"",ROUND(IF(D350="Short",E350-F350,F350-E350)*G350*H350-I350,2))</f>
        <v/>
      </c>
      <c r="M350" s="10">
        <f>IF(OR(L350="",N(J350)&lt;=0),"",L350/J350)</f>
        <v/>
      </c>
      <c r="N350" s="11">
        <f>IF(L350="","",IF(L350&gt;0,"Win",IF(L350&lt;0,"Loss","Flat")))</f>
        <v/>
      </c>
      <c r="O350" s="9">
        <f>IF(L350="","",SUM($L$2:L350))</f>
        <v/>
      </c>
      <c r="P350" s="9">
        <f>IF(L350="","",MAX(0,MAX($O$2:O350)))</f>
        <v/>
      </c>
      <c r="Q350" s="9">
        <f>IF(L350="","",P350-O350)</f>
        <v/>
      </c>
      <c r="S350">
        <f>IF(N350="Win",N(S349)+1,0)</f>
        <v/>
      </c>
      <c r="T350">
        <f>IF(N350="Loss",N(T349)+1,0)</f>
        <v/>
      </c>
    </row>
    <row r="351">
      <c r="A351" s="5" t="n"/>
      <c r="B351" s="6" t="n"/>
      <c r="C351" s="6" t="n"/>
      <c r="D351" s="6" t="n"/>
      <c r="E351" s="7" t="n"/>
      <c r="F351" s="7" t="n"/>
      <c r="G351" s="6" t="n"/>
      <c r="H351" s="6" t="n"/>
      <c r="I351" s="7" t="n"/>
      <c r="J351" s="8" t="n"/>
      <c r="K351" s="6" t="n"/>
      <c r="L351" s="9">
        <f>IF(OR(E351="",F351=""),"",ROUND(IF(D351="Short",E351-F351,F351-E351)*G351*H351-I351,2))</f>
        <v/>
      </c>
      <c r="M351" s="10">
        <f>IF(OR(L351="",N(J351)&lt;=0),"",L351/J351)</f>
        <v/>
      </c>
      <c r="N351" s="11">
        <f>IF(L351="","",IF(L351&gt;0,"Win",IF(L351&lt;0,"Loss","Flat")))</f>
        <v/>
      </c>
      <c r="O351" s="9">
        <f>IF(L351="","",SUM($L$2:L351))</f>
        <v/>
      </c>
      <c r="P351" s="9">
        <f>IF(L351="","",MAX(0,MAX($O$2:O351)))</f>
        <v/>
      </c>
      <c r="Q351" s="9">
        <f>IF(L351="","",P351-O351)</f>
        <v/>
      </c>
      <c r="S351">
        <f>IF(N351="Win",N(S350)+1,0)</f>
        <v/>
      </c>
      <c r="T351">
        <f>IF(N351="Loss",N(T350)+1,0)</f>
        <v/>
      </c>
    </row>
    <row r="352">
      <c r="A352" s="5" t="n"/>
      <c r="B352" s="6" t="n"/>
      <c r="C352" s="6" t="n"/>
      <c r="D352" s="6" t="n"/>
      <c r="E352" s="7" t="n"/>
      <c r="F352" s="7" t="n"/>
      <c r="G352" s="6" t="n"/>
      <c r="H352" s="6" t="n"/>
      <c r="I352" s="7" t="n"/>
      <c r="J352" s="8" t="n"/>
      <c r="K352" s="6" t="n"/>
      <c r="L352" s="9">
        <f>IF(OR(E352="",F352=""),"",ROUND(IF(D352="Short",E352-F352,F352-E352)*G352*H352-I352,2))</f>
        <v/>
      </c>
      <c r="M352" s="10">
        <f>IF(OR(L352="",N(J352)&lt;=0),"",L352/J352)</f>
        <v/>
      </c>
      <c r="N352" s="11">
        <f>IF(L352="","",IF(L352&gt;0,"Win",IF(L352&lt;0,"Loss","Flat")))</f>
        <v/>
      </c>
      <c r="O352" s="9">
        <f>IF(L352="","",SUM($L$2:L352))</f>
        <v/>
      </c>
      <c r="P352" s="9">
        <f>IF(L352="","",MAX(0,MAX($O$2:O352)))</f>
        <v/>
      </c>
      <c r="Q352" s="9">
        <f>IF(L352="","",P352-O352)</f>
        <v/>
      </c>
      <c r="S352">
        <f>IF(N352="Win",N(S351)+1,0)</f>
        <v/>
      </c>
      <c r="T352">
        <f>IF(N352="Loss",N(T351)+1,0)</f>
        <v/>
      </c>
    </row>
    <row r="353">
      <c r="A353" s="5" t="n"/>
      <c r="B353" s="6" t="n"/>
      <c r="C353" s="6" t="n"/>
      <c r="D353" s="6" t="n"/>
      <c r="E353" s="7" t="n"/>
      <c r="F353" s="7" t="n"/>
      <c r="G353" s="6" t="n"/>
      <c r="H353" s="6" t="n"/>
      <c r="I353" s="7" t="n"/>
      <c r="J353" s="8" t="n"/>
      <c r="K353" s="6" t="n"/>
      <c r="L353" s="9">
        <f>IF(OR(E353="",F353=""),"",ROUND(IF(D353="Short",E353-F353,F353-E353)*G353*H353-I353,2))</f>
        <v/>
      </c>
      <c r="M353" s="10">
        <f>IF(OR(L353="",N(J353)&lt;=0),"",L353/J353)</f>
        <v/>
      </c>
      <c r="N353" s="11">
        <f>IF(L353="","",IF(L353&gt;0,"Win",IF(L353&lt;0,"Loss","Flat")))</f>
        <v/>
      </c>
      <c r="O353" s="9">
        <f>IF(L353="","",SUM($L$2:L353))</f>
        <v/>
      </c>
      <c r="P353" s="9">
        <f>IF(L353="","",MAX(0,MAX($O$2:O353)))</f>
        <v/>
      </c>
      <c r="Q353" s="9">
        <f>IF(L353="","",P353-O353)</f>
        <v/>
      </c>
      <c r="S353">
        <f>IF(N353="Win",N(S352)+1,0)</f>
        <v/>
      </c>
      <c r="T353">
        <f>IF(N353="Loss",N(T352)+1,0)</f>
        <v/>
      </c>
    </row>
    <row r="354">
      <c r="A354" s="5" t="n"/>
      <c r="B354" s="6" t="n"/>
      <c r="C354" s="6" t="n"/>
      <c r="D354" s="6" t="n"/>
      <c r="E354" s="7" t="n"/>
      <c r="F354" s="7" t="n"/>
      <c r="G354" s="6" t="n"/>
      <c r="H354" s="6" t="n"/>
      <c r="I354" s="7" t="n"/>
      <c r="J354" s="8" t="n"/>
      <c r="K354" s="6" t="n"/>
      <c r="L354" s="9">
        <f>IF(OR(E354="",F354=""),"",ROUND(IF(D354="Short",E354-F354,F354-E354)*G354*H354-I354,2))</f>
        <v/>
      </c>
      <c r="M354" s="10">
        <f>IF(OR(L354="",N(J354)&lt;=0),"",L354/J354)</f>
        <v/>
      </c>
      <c r="N354" s="11">
        <f>IF(L354="","",IF(L354&gt;0,"Win",IF(L354&lt;0,"Loss","Flat")))</f>
        <v/>
      </c>
      <c r="O354" s="9">
        <f>IF(L354="","",SUM($L$2:L354))</f>
        <v/>
      </c>
      <c r="P354" s="9">
        <f>IF(L354="","",MAX(0,MAX($O$2:O354)))</f>
        <v/>
      </c>
      <c r="Q354" s="9">
        <f>IF(L354="","",P354-O354)</f>
        <v/>
      </c>
      <c r="S354">
        <f>IF(N354="Win",N(S353)+1,0)</f>
        <v/>
      </c>
      <c r="T354">
        <f>IF(N354="Loss",N(T353)+1,0)</f>
        <v/>
      </c>
    </row>
    <row r="355">
      <c r="A355" s="5" t="n"/>
      <c r="B355" s="6" t="n"/>
      <c r="C355" s="6" t="n"/>
      <c r="D355" s="6" t="n"/>
      <c r="E355" s="7" t="n"/>
      <c r="F355" s="7" t="n"/>
      <c r="G355" s="6" t="n"/>
      <c r="H355" s="6" t="n"/>
      <c r="I355" s="7" t="n"/>
      <c r="J355" s="8" t="n"/>
      <c r="K355" s="6" t="n"/>
      <c r="L355" s="9">
        <f>IF(OR(E355="",F355=""),"",ROUND(IF(D355="Short",E355-F355,F355-E355)*G355*H355-I355,2))</f>
        <v/>
      </c>
      <c r="M355" s="10">
        <f>IF(OR(L355="",N(J355)&lt;=0),"",L355/J355)</f>
        <v/>
      </c>
      <c r="N355" s="11">
        <f>IF(L355="","",IF(L355&gt;0,"Win",IF(L355&lt;0,"Loss","Flat")))</f>
        <v/>
      </c>
      <c r="O355" s="9">
        <f>IF(L355="","",SUM($L$2:L355))</f>
        <v/>
      </c>
      <c r="P355" s="9">
        <f>IF(L355="","",MAX(0,MAX($O$2:O355)))</f>
        <v/>
      </c>
      <c r="Q355" s="9">
        <f>IF(L355="","",P355-O355)</f>
        <v/>
      </c>
      <c r="S355">
        <f>IF(N355="Win",N(S354)+1,0)</f>
        <v/>
      </c>
      <c r="T355">
        <f>IF(N355="Loss",N(T354)+1,0)</f>
        <v/>
      </c>
    </row>
    <row r="356">
      <c r="A356" s="5" t="n"/>
      <c r="B356" s="6" t="n"/>
      <c r="C356" s="6" t="n"/>
      <c r="D356" s="6" t="n"/>
      <c r="E356" s="7" t="n"/>
      <c r="F356" s="7" t="n"/>
      <c r="G356" s="6" t="n"/>
      <c r="H356" s="6" t="n"/>
      <c r="I356" s="7" t="n"/>
      <c r="J356" s="8" t="n"/>
      <c r="K356" s="6" t="n"/>
      <c r="L356" s="9">
        <f>IF(OR(E356="",F356=""),"",ROUND(IF(D356="Short",E356-F356,F356-E356)*G356*H356-I356,2))</f>
        <v/>
      </c>
      <c r="M356" s="10">
        <f>IF(OR(L356="",N(J356)&lt;=0),"",L356/J356)</f>
        <v/>
      </c>
      <c r="N356" s="11">
        <f>IF(L356="","",IF(L356&gt;0,"Win",IF(L356&lt;0,"Loss","Flat")))</f>
        <v/>
      </c>
      <c r="O356" s="9">
        <f>IF(L356="","",SUM($L$2:L356))</f>
        <v/>
      </c>
      <c r="P356" s="9">
        <f>IF(L356="","",MAX(0,MAX($O$2:O356)))</f>
        <v/>
      </c>
      <c r="Q356" s="9">
        <f>IF(L356="","",P356-O356)</f>
        <v/>
      </c>
      <c r="S356">
        <f>IF(N356="Win",N(S355)+1,0)</f>
        <v/>
      </c>
      <c r="T356">
        <f>IF(N356="Loss",N(T355)+1,0)</f>
        <v/>
      </c>
    </row>
    <row r="357">
      <c r="A357" s="5" t="n"/>
      <c r="B357" s="6" t="n"/>
      <c r="C357" s="6" t="n"/>
      <c r="D357" s="6" t="n"/>
      <c r="E357" s="7" t="n"/>
      <c r="F357" s="7" t="n"/>
      <c r="G357" s="6" t="n"/>
      <c r="H357" s="6" t="n"/>
      <c r="I357" s="7" t="n"/>
      <c r="J357" s="8" t="n"/>
      <c r="K357" s="6" t="n"/>
      <c r="L357" s="9">
        <f>IF(OR(E357="",F357=""),"",ROUND(IF(D357="Short",E357-F357,F357-E357)*G357*H357-I357,2))</f>
        <v/>
      </c>
      <c r="M357" s="10">
        <f>IF(OR(L357="",N(J357)&lt;=0),"",L357/J357)</f>
        <v/>
      </c>
      <c r="N357" s="11">
        <f>IF(L357="","",IF(L357&gt;0,"Win",IF(L357&lt;0,"Loss","Flat")))</f>
        <v/>
      </c>
      <c r="O357" s="9">
        <f>IF(L357="","",SUM($L$2:L357))</f>
        <v/>
      </c>
      <c r="P357" s="9">
        <f>IF(L357="","",MAX(0,MAX($O$2:O357)))</f>
        <v/>
      </c>
      <c r="Q357" s="9">
        <f>IF(L357="","",P357-O357)</f>
        <v/>
      </c>
      <c r="S357">
        <f>IF(N357="Win",N(S356)+1,0)</f>
        <v/>
      </c>
      <c r="T357">
        <f>IF(N357="Loss",N(T356)+1,0)</f>
        <v/>
      </c>
    </row>
    <row r="358">
      <c r="A358" s="5" t="n"/>
      <c r="B358" s="6" t="n"/>
      <c r="C358" s="6" t="n"/>
      <c r="D358" s="6" t="n"/>
      <c r="E358" s="7" t="n"/>
      <c r="F358" s="7" t="n"/>
      <c r="G358" s="6" t="n"/>
      <c r="H358" s="6" t="n"/>
      <c r="I358" s="7" t="n"/>
      <c r="J358" s="8" t="n"/>
      <c r="K358" s="6" t="n"/>
      <c r="L358" s="9">
        <f>IF(OR(E358="",F358=""),"",ROUND(IF(D358="Short",E358-F358,F358-E358)*G358*H358-I358,2))</f>
        <v/>
      </c>
      <c r="M358" s="10">
        <f>IF(OR(L358="",N(J358)&lt;=0),"",L358/J358)</f>
        <v/>
      </c>
      <c r="N358" s="11">
        <f>IF(L358="","",IF(L358&gt;0,"Win",IF(L358&lt;0,"Loss","Flat")))</f>
        <v/>
      </c>
      <c r="O358" s="9">
        <f>IF(L358="","",SUM($L$2:L358))</f>
        <v/>
      </c>
      <c r="P358" s="9">
        <f>IF(L358="","",MAX(0,MAX($O$2:O358)))</f>
        <v/>
      </c>
      <c r="Q358" s="9">
        <f>IF(L358="","",P358-O358)</f>
        <v/>
      </c>
      <c r="S358">
        <f>IF(N358="Win",N(S357)+1,0)</f>
        <v/>
      </c>
      <c r="T358">
        <f>IF(N358="Loss",N(T357)+1,0)</f>
        <v/>
      </c>
    </row>
    <row r="359">
      <c r="A359" s="5" t="n"/>
      <c r="B359" s="6" t="n"/>
      <c r="C359" s="6" t="n"/>
      <c r="D359" s="6" t="n"/>
      <c r="E359" s="7" t="n"/>
      <c r="F359" s="7" t="n"/>
      <c r="G359" s="6" t="n"/>
      <c r="H359" s="6" t="n"/>
      <c r="I359" s="7" t="n"/>
      <c r="J359" s="8" t="n"/>
      <c r="K359" s="6" t="n"/>
      <c r="L359" s="9">
        <f>IF(OR(E359="",F359=""),"",ROUND(IF(D359="Short",E359-F359,F359-E359)*G359*H359-I359,2))</f>
        <v/>
      </c>
      <c r="M359" s="10">
        <f>IF(OR(L359="",N(J359)&lt;=0),"",L359/J359)</f>
        <v/>
      </c>
      <c r="N359" s="11">
        <f>IF(L359="","",IF(L359&gt;0,"Win",IF(L359&lt;0,"Loss","Flat")))</f>
        <v/>
      </c>
      <c r="O359" s="9">
        <f>IF(L359="","",SUM($L$2:L359))</f>
        <v/>
      </c>
      <c r="P359" s="9">
        <f>IF(L359="","",MAX(0,MAX($O$2:O359)))</f>
        <v/>
      </c>
      <c r="Q359" s="9">
        <f>IF(L359="","",P359-O359)</f>
        <v/>
      </c>
      <c r="S359">
        <f>IF(N359="Win",N(S358)+1,0)</f>
        <v/>
      </c>
      <c r="T359">
        <f>IF(N359="Loss",N(T358)+1,0)</f>
        <v/>
      </c>
    </row>
    <row r="360">
      <c r="A360" s="5" t="n"/>
      <c r="B360" s="6" t="n"/>
      <c r="C360" s="6" t="n"/>
      <c r="D360" s="6" t="n"/>
      <c r="E360" s="7" t="n"/>
      <c r="F360" s="7" t="n"/>
      <c r="G360" s="6" t="n"/>
      <c r="H360" s="6" t="n"/>
      <c r="I360" s="7" t="n"/>
      <c r="J360" s="8" t="n"/>
      <c r="K360" s="6" t="n"/>
      <c r="L360" s="9">
        <f>IF(OR(E360="",F360=""),"",ROUND(IF(D360="Short",E360-F360,F360-E360)*G360*H360-I360,2))</f>
        <v/>
      </c>
      <c r="M360" s="10">
        <f>IF(OR(L360="",N(J360)&lt;=0),"",L360/J360)</f>
        <v/>
      </c>
      <c r="N360" s="11">
        <f>IF(L360="","",IF(L360&gt;0,"Win",IF(L360&lt;0,"Loss","Flat")))</f>
        <v/>
      </c>
      <c r="O360" s="9">
        <f>IF(L360="","",SUM($L$2:L360))</f>
        <v/>
      </c>
      <c r="P360" s="9">
        <f>IF(L360="","",MAX(0,MAX($O$2:O360)))</f>
        <v/>
      </c>
      <c r="Q360" s="9">
        <f>IF(L360="","",P360-O360)</f>
        <v/>
      </c>
      <c r="S360">
        <f>IF(N360="Win",N(S359)+1,0)</f>
        <v/>
      </c>
      <c r="T360">
        <f>IF(N360="Loss",N(T359)+1,0)</f>
        <v/>
      </c>
    </row>
    <row r="361">
      <c r="A361" s="5" t="n"/>
      <c r="B361" s="6" t="n"/>
      <c r="C361" s="6" t="n"/>
      <c r="D361" s="6" t="n"/>
      <c r="E361" s="7" t="n"/>
      <c r="F361" s="7" t="n"/>
      <c r="G361" s="6" t="n"/>
      <c r="H361" s="6" t="n"/>
      <c r="I361" s="7" t="n"/>
      <c r="J361" s="8" t="n"/>
      <c r="K361" s="6" t="n"/>
      <c r="L361" s="9">
        <f>IF(OR(E361="",F361=""),"",ROUND(IF(D361="Short",E361-F361,F361-E361)*G361*H361-I361,2))</f>
        <v/>
      </c>
      <c r="M361" s="10">
        <f>IF(OR(L361="",N(J361)&lt;=0),"",L361/J361)</f>
        <v/>
      </c>
      <c r="N361" s="11">
        <f>IF(L361="","",IF(L361&gt;0,"Win",IF(L361&lt;0,"Loss","Flat")))</f>
        <v/>
      </c>
      <c r="O361" s="9">
        <f>IF(L361="","",SUM($L$2:L361))</f>
        <v/>
      </c>
      <c r="P361" s="9">
        <f>IF(L361="","",MAX(0,MAX($O$2:O361)))</f>
        <v/>
      </c>
      <c r="Q361" s="9">
        <f>IF(L361="","",P361-O361)</f>
        <v/>
      </c>
      <c r="S361">
        <f>IF(N361="Win",N(S360)+1,0)</f>
        <v/>
      </c>
      <c r="T361">
        <f>IF(N361="Loss",N(T360)+1,0)</f>
        <v/>
      </c>
    </row>
    <row r="362">
      <c r="A362" s="5" t="n"/>
      <c r="B362" s="6" t="n"/>
      <c r="C362" s="6" t="n"/>
      <c r="D362" s="6" t="n"/>
      <c r="E362" s="7" t="n"/>
      <c r="F362" s="7" t="n"/>
      <c r="G362" s="6" t="n"/>
      <c r="H362" s="6" t="n"/>
      <c r="I362" s="7" t="n"/>
      <c r="J362" s="8" t="n"/>
      <c r="K362" s="6" t="n"/>
      <c r="L362" s="9">
        <f>IF(OR(E362="",F362=""),"",ROUND(IF(D362="Short",E362-F362,F362-E362)*G362*H362-I362,2))</f>
        <v/>
      </c>
      <c r="M362" s="10">
        <f>IF(OR(L362="",N(J362)&lt;=0),"",L362/J362)</f>
        <v/>
      </c>
      <c r="N362" s="11">
        <f>IF(L362="","",IF(L362&gt;0,"Win",IF(L362&lt;0,"Loss","Flat")))</f>
        <v/>
      </c>
      <c r="O362" s="9">
        <f>IF(L362="","",SUM($L$2:L362))</f>
        <v/>
      </c>
      <c r="P362" s="9">
        <f>IF(L362="","",MAX(0,MAX($O$2:O362)))</f>
        <v/>
      </c>
      <c r="Q362" s="9">
        <f>IF(L362="","",P362-O362)</f>
        <v/>
      </c>
      <c r="S362">
        <f>IF(N362="Win",N(S361)+1,0)</f>
        <v/>
      </c>
      <c r="T362">
        <f>IF(N362="Loss",N(T361)+1,0)</f>
        <v/>
      </c>
    </row>
    <row r="363">
      <c r="A363" s="5" t="n"/>
      <c r="B363" s="6" t="n"/>
      <c r="C363" s="6" t="n"/>
      <c r="D363" s="6" t="n"/>
      <c r="E363" s="7" t="n"/>
      <c r="F363" s="7" t="n"/>
      <c r="G363" s="6" t="n"/>
      <c r="H363" s="6" t="n"/>
      <c r="I363" s="7" t="n"/>
      <c r="J363" s="8" t="n"/>
      <c r="K363" s="6" t="n"/>
      <c r="L363" s="9">
        <f>IF(OR(E363="",F363=""),"",ROUND(IF(D363="Short",E363-F363,F363-E363)*G363*H363-I363,2))</f>
        <v/>
      </c>
      <c r="M363" s="10">
        <f>IF(OR(L363="",N(J363)&lt;=0),"",L363/J363)</f>
        <v/>
      </c>
      <c r="N363" s="11">
        <f>IF(L363="","",IF(L363&gt;0,"Win",IF(L363&lt;0,"Loss","Flat")))</f>
        <v/>
      </c>
      <c r="O363" s="9">
        <f>IF(L363="","",SUM($L$2:L363))</f>
        <v/>
      </c>
      <c r="P363" s="9">
        <f>IF(L363="","",MAX(0,MAX($O$2:O363)))</f>
        <v/>
      </c>
      <c r="Q363" s="9">
        <f>IF(L363="","",P363-O363)</f>
        <v/>
      </c>
      <c r="S363">
        <f>IF(N363="Win",N(S362)+1,0)</f>
        <v/>
      </c>
      <c r="T363">
        <f>IF(N363="Loss",N(T362)+1,0)</f>
        <v/>
      </c>
    </row>
    <row r="364">
      <c r="A364" s="5" t="n"/>
      <c r="B364" s="6" t="n"/>
      <c r="C364" s="6" t="n"/>
      <c r="D364" s="6" t="n"/>
      <c r="E364" s="7" t="n"/>
      <c r="F364" s="7" t="n"/>
      <c r="G364" s="6" t="n"/>
      <c r="H364" s="6" t="n"/>
      <c r="I364" s="7" t="n"/>
      <c r="J364" s="8" t="n"/>
      <c r="K364" s="6" t="n"/>
      <c r="L364" s="9">
        <f>IF(OR(E364="",F364=""),"",ROUND(IF(D364="Short",E364-F364,F364-E364)*G364*H364-I364,2))</f>
        <v/>
      </c>
      <c r="M364" s="10">
        <f>IF(OR(L364="",N(J364)&lt;=0),"",L364/J364)</f>
        <v/>
      </c>
      <c r="N364" s="11">
        <f>IF(L364="","",IF(L364&gt;0,"Win",IF(L364&lt;0,"Loss","Flat")))</f>
        <v/>
      </c>
      <c r="O364" s="9">
        <f>IF(L364="","",SUM($L$2:L364))</f>
        <v/>
      </c>
      <c r="P364" s="9">
        <f>IF(L364="","",MAX(0,MAX($O$2:O364)))</f>
        <v/>
      </c>
      <c r="Q364" s="9">
        <f>IF(L364="","",P364-O364)</f>
        <v/>
      </c>
      <c r="S364">
        <f>IF(N364="Win",N(S363)+1,0)</f>
        <v/>
      </c>
      <c r="T364">
        <f>IF(N364="Loss",N(T363)+1,0)</f>
        <v/>
      </c>
    </row>
    <row r="365">
      <c r="A365" s="5" t="n"/>
      <c r="B365" s="6" t="n"/>
      <c r="C365" s="6" t="n"/>
      <c r="D365" s="6" t="n"/>
      <c r="E365" s="7" t="n"/>
      <c r="F365" s="7" t="n"/>
      <c r="G365" s="6" t="n"/>
      <c r="H365" s="6" t="n"/>
      <c r="I365" s="7" t="n"/>
      <c r="J365" s="8" t="n"/>
      <c r="K365" s="6" t="n"/>
      <c r="L365" s="9">
        <f>IF(OR(E365="",F365=""),"",ROUND(IF(D365="Short",E365-F365,F365-E365)*G365*H365-I365,2))</f>
        <v/>
      </c>
      <c r="M365" s="10">
        <f>IF(OR(L365="",N(J365)&lt;=0),"",L365/J365)</f>
        <v/>
      </c>
      <c r="N365" s="11">
        <f>IF(L365="","",IF(L365&gt;0,"Win",IF(L365&lt;0,"Loss","Flat")))</f>
        <v/>
      </c>
      <c r="O365" s="9">
        <f>IF(L365="","",SUM($L$2:L365))</f>
        <v/>
      </c>
      <c r="P365" s="9">
        <f>IF(L365="","",MAX(0,MAX($O$2:O365)))</f>
        <v/>
      </c>
      <c r="Q365" s="9">
        <f>IF(L365="","",P365-O365)</f>
        <v/>
      </c>
      <c r="S365">
        <f>IF(N365="Win",N(S364)+1,0)</f>
        <v/>
      </c>
      <c r="T365">
        <f>IF(N365="Loss",N(T364)+1,0)</f>
        <v/>
      </c>
    </row>
    <row r="366">
      <c r="A366" s="5" t="n"/>
      <c r="B366" s="6" t="n"/>
      <c r="C366" s="6" t="n"/>
      <c r="D366" s="6" t="n"/>
      <c r="E366" s="7" t="n"/>
      <c r="F366" s="7" t="n"/>
      <c r="G366" s="6" t="n"/>
      <c r="H366" s="6" t="n"/>
      <c r="I366" s="7" t="n"/>
      <c r="J366" s="8" t="n"/>
      <c r="K366" s="6" t="n"/>
      <c r="L366" s="9">
        <f>IF(OR(E366="",F366=""),"",ROUND(IF(D366="Short",E366-F366,F366-E366)*G366*H366-I366,2))</f>
        <v/>
      </c>
      <c r="M366" s="10">
        <f>IF(OR(L366="",N(J366)&lt;=0),"",L366/J366)</f>
        <v/>
      </c>
      <c r="N366" s="11">
        <f>IF(L366="","",IF(L366&gt;0,"Win",IF(L366&lt;0,"Loss","Flat")))</f>
        <v/>
      </c>
      <c r="O366" s="9">
        <f>IF(L366="","",SUM($L$2:L366))</f>
        <v/>
      </c>
      <c r="P366" s="9">
        <f>IF(L366="","",MAX(0,MAX($O$2:O366)))</f>
        <v/>
      </c>
      <c r="Q366" s="9">
        <f>IF(L366="","",P366-O366)</f>
        <v/>
      </c>
      <c r="S366">
        <f>IF(N366="Win",N(S365)+1,0)</f>
        <v/>
      </c>
      <c r="T366">
        <f>IF(N366="Loss",N(T365)+1,0)</f>
        <v/>
      </c>
    </row>
    <row r="367">
      <c r="A367" s="5" t="n"/>
      <c r="B367" s="6" t="n"/>
      <c r="C367" s="6" t="n"/>
      <c r="D367" s="6" t="n"/>
      <c r="E367" s="7" t="n"/>
      <c r="F367" s="7" t="n"/>
      <c r="G367" s="6" t="n"/>
      <c r="H367" s="6" t="n"/>
      <c r="I367" s="7" t="n"/>
      <c r="J367" s="8" t="n"/>
      <c r="K367" s="6" t="n"/>
      <c r="L367" s="9">
        <f>IF(OR(E367="",F367=""),"",ROUND(IF(D367="Short",E367-F367,F367-E367)*G367*H367-I367,2))</f>
        <v/>
      </c>
      <c r="M367" s="10">
        <f>IF(OR(L367="",N(J367)&lt;=0),"",L367/J367)</f>
        <v/>
      </c>
      <c r="N367" s="11">
        <f>IF(L367="","",IF(L367&gt;0,"Win",IF(L367&lt;0,"Loss","Flat")))</f>
        <v/>
      </c>
      <c r="O367" s="9">
        <f>IF(L367="","",SUM($L$2:L367))</f>
        <v/>
      </c>
      <c r="P367" s="9">
        <f>IF(L367="","",MAX(0,MAX($O$2:O367)))</f>
        <v/>
      </c>
      <c r="Q367" s="9">
        <f>IF(L367="","",P367-O367)</f>
        <v/>
      </c>
      <c r="S367">
        <f>IF(N367="Win",N(S366)+1,0)</f>
        <v/>
      </c>
      <c r="T367">
        <f>IF(N367="Loss",N(T366)+1,0)</f>
        <v/>
      </c>
    </row>
    <row r="368">
      <c r="A368" s="5" t="n"/>
      <c r="B368" s="6" t="n"/>
      <c r="C368" s="6" t="n"/>
      <c r="D368" s="6" t="n"/>
      <c r="E368" s="7" t="n"/>
      <c r="F368" s="7" t="n"/>
      <c r="G368" s="6" t="n"/>
      <c r="H368" s="6" t="n"/>
      <c r="I368" s="7" t="n"/>
      <c r="J368" s="8" t="n"/>
      <c r="K368" s="6" t="n"/>
      <c r="L368" s="9">
        <f>IF(OR(E368="",F368=""),"",ROUND(IF(D368="Short",E368-F368,F368-E368)*G368*H368-I368,2))</f>
        <v/>
      </c>
      <c r="M368" s="10">
        <f>IF(OR(L368="",N(J368)&lt;=0),"",L368/J368)</f>
        <v/>
      </c>
      <c r="N368" s="11">
        <f>IF(L368="","",IF(L368&gt;0,"Win",IF(L368&lt;0,"Loss","Flat")))</f>
        <v/>
      </c>
      <c r="O368" s="9">
        <f>IF(L368="","",SUM($L$2:L368))</f>
        <v/>
      </c>
      <c r="P368" s="9">
        <f>IF(L368="","",MAX(0,MAX($O$2:O368)))</f>
        <v/>
      </c>
      <c r="Q368" s="9">
        <f>IF(L368="","",P368-O368)</f>
        <v/>
      </c>
      <c r="S368">
        <f>IF(N368="Win",N(S367)+1,0)</f>
        <v/>
      </c>
      <c r="T368">
        <f>IF(N368="Loss",N(T367)+1,0)</f>
        <v/>
      </c>
    </row>
    <row r="369">
      <c r="A369" s="5" t="n"/>
      <c r="B369" s="6" t="n"/>
      <c r="C369" s="6" t="n"/>
      <c r="D369" s="6" t="n"/>
      <c r="E369" s="7" t="n"/>
      <c r="F369" s="7" t="n"/>
      <c r="G369" s="6" t="n"/>
      <c r="H369" s="6" t="n"/>
      <c r="I369" s="7" t="n"/>
      <c r="J369" s="8" t="n"/>
      <c r="K369" s="6" t="n"/>
      <c r="L369" s="9">
        <f>IF(OR(E369="",F369=""),"",ROUND(IF(D369="Short",E369-F369,F369-E369)*G369*H369-I369,2))</f>
        <v/>
      </c>
      <c r="M369" s="10">
        <f>IF(OR(L369="",N(J369)&lt;=0),"",L369/J369)</f>
        <v/>
      </c>
      <c r="N369" s="11">
        <f>IF(L369="","",IF(L369&gt;0,"Win",IF(L369&lt;0,"Loss","Flat")))</f>
        <v/>
      </c>
      <c r="O369" s="9">
        <f>IF(L369="","",SUM($L$2:L369))</f>
        <v/>
      </c>
      <c r="P369" s="9">
        <f>IF(L369="","",MAX(0,MAX($O$2:O369)))</f>
        <v/>
      </c>
      <c r="Q369" s="9">
        <f>IF(L369="","",P369-O369)</f>
        <v/>
      </c>
      <c r="S369">
        <f>IF(N369="Win",N(S368)+1,0)</f>
        <v/>
      </c>
      <c r="T369">
        <f>IF(N369="Loss",N(T368)+1,0)</f>
        <v/>
      </c>
    </row>
    <row r="370">
      <c r="A370" s="5" t="n"/>
      <c r="B370" s="6" t="n"/>
      <c r="C370" s="6" t="n"/>
      <c r="D370" s="6" t="n"/>
      <c r="E370" s="7" t="n"/>
      <c r="F370" s="7" t="n"/>
      <c r="G370" s="6" t="n"/>
      <c r="H370" s="6" t="n"/>
      <c r="I370" s="7" t="n"/>
      <c r="J370" s="8" t="n"/>
      <c r="K370" s="6" t="n"/>
      <c r="L370" s="9">
        <f>IF(OR(E370="",F370=""),"",ROUND(IF(D370="Short",E370-F370,F370-E370)*G370*H370-I370,2))</f>
        <v/>
      </c>
      <c r="M370" s="10">
        <f>IF(OR(L370="",N(J370)&lt;=0),"",L370/J370)</f>
        <v/>
      </c>
      <c r="N370" s="11">
        <f>IF(L370="","",IF(L370&gt;0,"Win",IF(L370&lt;0,"Loss","Flat")))</f>
        <v/>
      </c>
      <c r="O370" s="9">
        <f>IF(L370="","",SUM($L$2:L370))</f>
        <v/>
      </c>
      <c r="P370" s="9">
        <f>IF(L370="","",MAX(0,MAX($O$2:O370)))</f>
        <v/>
      </c>
      <c r="Q370" s="9">
        <f>IF(L370="","",P370-O370)</f>
        <v/>
      </c>
      <c r="S370">
        <f>IF(N370="Win",N(S369)+1,0)</f>
        <v/>
      </c>
      <c r="T370">
        <f>IF(N370="Loss",N(T369)+1,0)</f>
        <v/>
      </c>
    </row>
    <row r="371">
      <c r="A371" s="5" t="n"/>
      <c r="B371" s="6" t="n"/>
      <c r="C371" s="6" t="n"/>
      <c r="D371" s="6" t="n"/>
      <c r="E371" s="7" t="n"/>
      <c r="F371" s="7" t="n"/>
      <c r="G371" s="6" t="n"/>
      <c r="H371" s="6" t="n"/>
      <c r="I371" s="7" t="n"/>
      <c r="J371" s="8" t="n"/>
      <c r="K371" s="6" t="n"/>
      <c r="L371" s="9">
        <f>IF(OR(E371="",F371=""),"",ROUND(IF(D371="Short",E371-F371,F371-E371)*G371*H371-I371,2))</f>
        <v/>
      </c>
      <c r="M371" s="10">
        <f>IF(OR(L371="",N(J371)&lt;=0),"",L371/J371)</f>
        <v/>
      </c>
      <c r="N371" s="11">
        <f>IF(L371="","",IF(L371&gt;0,"Win",IF(L371&lt;0,"Loss","Flat")))</f>
        <v/>
      </c>
      <c r="O371" s="9">
        <f>IF(L371="","",SUM($L$2:L371))</f>
        <v/>
      </c>
      <c r="P371" s="9">
        <f>IF(L371="","",MAX(0,MAX($O$2:O371)))</f>
        <v/>
      </c>
      <c r="Q371" s="9">
        <f>IF(L371="","",P371-O371)</f>
        <v/>
      </c>
      <c r="S371">
        <f>IF(N371="Win",N(S370)+1,0)</f>
        <v/>
      </c>
      <c r="T371">
        <f>IF(N371="Loss",N(T370)+1,0)</f>
        <v/>
      </c>
    </row>
    <row r="372">
      <c r="A372" s="5" t="n"/>
      <c r="B372" s="6" t="n"/>
      <c r="C372" s="6" t="n"/>
      <c r="D372" s="6" t="n"/>
      <c r="E372" s="7" t="n"/>
      <c r="F372" s="7" t="n"/>
      <c r="G372" s="6" t="n"/>
      <c r="H372" s="6" t="n"/>
      <c r="I372" s="7" t="n"/>
      <c r="J372" s="8" t="n"/>
      <c r="K372" s="6" t="n"/>
      <c r="L372" s="9">
        <f>IF(OR(E372="",F372=""),"",ROUND(IF(D372="Short",E372-F372,F372-E372)*G372*H372-I372,2))</f>
        <v/>
      </c>
      <c r="M372" s="10">
        <f>IF(OR(L372="",N(J372)&lt;=0),"",L372/J372)</f>
        <v/>
      </c>
      <c r="N372" s="11">
        <f>IF(L372="","",IF(L372&gt;0,"Win",IF(L372&lt;0,"Loss","Flat")))</f>
        <v/>
      </c>
      <c r="O372" s="9">
        <f>IF(L372="","",SUM($L$2:L372))</f>
        <v/>
      </c>
      <c r="P372" s="9">
        <f>IF(L372="","",MAX(0,MAX($O$2:O372)))</f>
        <v/>
      </c>
      <c r="Q372" s="9">
        <f>IF(L372="","",P372-O372)</f>
        <v/>
      </c>
      <c r="S372">
        <f>IF(N372="Win",N(S371)+1,0)</f>
        <v/>
      </c>
      <c r="T372">
        <f>IF(N372="Loss",N(T371)+1,0)</f>
        <v/>
      </c>
    </row>
    <row r="373">
      <c r="A373" s="5" t="n"/>
      <c r="B373" s="6" t="n"/>
      <c r="C373" s="6" t="n"/>
      <c r="D373" s="6" t="n"/>
      <c r="E373" s="7" t="n"/>
      <c r="F373" s="7" t="n"/>
      <c r="G373" s="6" t="n"/>
      <c r="H373" s="6" t="n"/>
      <c r="I373" s="7" t="n"/>
      <c r="J373" s="8" t="n"/>
      <c r="K373" s="6" t="n"/>
      <c r="L373" s="9">
        <f>IF(OR(E373="",F373=""),"",ROUND(IF(D373="Short",E373-F373,F373-E373)*G373*H373-I373,2))</f>
        <v/>
      </c>
      <c r="M373" s="10">
        <f>IF(OR(L373="",N(J373)&lt;=0),"",L373/J373)</f>
        <v/>
      </c>
      <c r="N373" s="11">
        <f>IF(L373="","",IF(L373&gt;0,"Win",IF(L373&lt;0,"Loss","Flat")))</f>
        <v/>
      </c>
      <c r="O373" s="9">
        <f>IF(L373="","",SUM($L$2:L373))</f>
        <v/>
      </c>
      <c r="P373" s="9">
        <f>IF(L373="","",MAX(0,MAX($O$2:O373)))</f>
        <v/>
      </c>
      <c r="Q373" s="9">
        <f>IF(L373="","",P373-O373)</f>
        <v/>
      </c>
      <c r="S373">
        <f>IF(N373="Win",N(S372)+1,0)</f>
        <v/>
      </c>
      <c r="T373">
        <f>IF(N373="Loss",N(T372)+1,0)</f>
        <v/>
      </c>
    </row>
    <row r="374">
      <c r="A374" s="5" t="n"/>
      <c r="B374" s="6" t="n"/>
      <c r="C374" s="6" t="n"/>
      <c r="D374" s="6" t="n"/>
      <c r="E374" s="7" t="n"/>
      <c r="F374" s="7" t="n"/>
      <c r="G374" s="6" t="n"/>
      <c r="H374" s="6" t="n"/>
      <c r="I374" s="7" t="n"/>
      <c r="J374" s="8" t="n"/>
      <c r="K374" s="6" t="n"/>
      <c r="L374" s="9">
        <f>IF(OR(E374="",F374=""),"",ROUND(IF(D374="Short",E374-F374,F374-E374)*G374*H374-I374,2))</f>
        <v/>
      </c>
      <c r="M374" s="10">
        <f>IF(OR(L374="",N(J374)&lt;=0),"",L374/J374)</f>
        <v/>
      </c>
      <c r="N374" s="11">
        <f>IF(L374="","",IF(L374&gt;0,"Win",IF(L374&lt;0,"Loss","Flat")))</f>
        <v/>
      </c>
      <c r="O374" s="9">
        <f>IF(L374="","",SUM($L$2:L374))</f>
        <v/>
      </c>
      <c r="P374" s="9">
        <f>IF(L374="","",MAX(0,MAX($O$2:O374)))</f>
        <v/>
      </c>
      <c r="Q374" s="9">
        <f>IF(L374="","",P374-O374)</f>
        <v/>
      </c>
      <c r="S374">
        <f>IF(N374="Win",N(S373)+1,0)</f>
        <v/>
      </c>
      <c r="T374">
        <f>IF(N374="Loss",N(T373)+1,0)</f>
        <v/>
      </c>
    </row>
    <row r="375">
      <c r="A375" s="5" t="n"/>
      <c r="B375" s="6" t="n"/>
      <c r="C375" s="6" t="n"/>
      <c r="D375" s="6" t="n"/>
      <c r="E375" s="7" t="n"/>
      <c r="F375" s="7" t="n"/>
      <c r="G375" s="6" t="n"/>
      <c r="H375" s="6" t="n"/>
      <c r="I375" s="7" t="n"/>
      <c r="J375" s="8" t="n"/>
      <c r="K375" s="6" t="n"/>
      <c r="L375" s="9">
        <f>IF(OR(E375="",F375=""),"",ROUND(IF(D375="Short",E375-F375,F375-E375)*G375*H375-I375,2))</f>
        <v/>
      </c>
      <c r="M375" s="10">
        <f>IF(OR(L375="",N(J375)&lt;=0),"",L375/J375)</f>
        <v/>
      </c>
      <c r="N375" s="11">
        <f>IF(L375="","",IF(L375&gt;0,"Win",IF(L375&lt;0,"Loss","Flat")))</f>
        <v/>
      </c>
      <c r="O375" s="9">
        <f>IF(L375="","",SUM($L$2:L375))</f>
        <v/>
      </c>
      <c r="P375" s="9">
        <f>IF(L375="","",MAX(0,MAX($O$2:O375)))</f>
        <v/>
      </c>
      <c r="Q375" s="9">
        <f>IF(L375="","",P375-O375)</f>
        <v/>
      </c>
      <c r="S375">
        <f>IF(N375="Win",N(S374)+1,0)</f>
        <v/>
      </c>
      <c r="T375">
        <f>IF(N375="Loss",N(T374)+1,0)</f>
        <v/>
      </c>
    </row>
    <row r="376">
      <c r="A376" s="5" t="n"/>
      <c r="B376" s="6" t="n"/>
      <c r="C376" s="6" t="n"/>
      <c r="D376" s="6" t="n"/>
      <c r="E376" s="7" t="n"/>
      <c r="F376" s="7" t="n"/>
      <c r="G376" s="6" t="n"/>
      <c r="H376" s="6" t="n"/>
      <c r="I376" s="7" t="n"/>
      <c r="J376" s="8" t="n"/>
      <c r="K376" s="6" t="n"/>
      <c r="L376" s="9">
        <f>IF(OR(E376="",F376=""),"",ROUND(IF(D376="Short",E376-F376,F376-E376)*G376*H376-I376,2))</f>
        <v/>
      </c>
      <c r="M376" s="10">
        <f>IF(OR(L376="",N(J376)&lt;=0),"",L376/J376)</f>
        <v/>
      </c>
      <c r="N376" s="11">
        <f>IF(L376="","",IF(L376&gt;0,"Win",IF(L376&lt;0,"Loss","Flat")))</f>
        <v/>
      </c>
      <c r="O376" s="9">
        <f>IF(L376="","",SUM($L$2:L376))</f>
        <v/>
      </c>
      <c r="P376" s="9">
        <f>IF(L376="","",MAX(0,MAX($O$2:O376)))</f>
        <v/>
      </c>
      <c r="Q376" s="9">
        <f>IF(L376="","",P376-O376)</f>
        <v/>
      </c>
      <c r="S376">
        <f>IF(N376="Win",N(S375)+1,0)</f>
        <v/>
      </c>
      <c r="T376">
        <f>IF(N376="Loss",N(T375)+1,0)</f>
        <v/>
      </c>
    </row>
    <row r="377">
      <c r="A377" s="5" t="n"/>
      <c r="B377" s="6" t="n"/>
      <c r="C377" s="6" t="n"/>
      <c r="D377" s="6" t="n"/>
      <c r="E377" s="7" t="n"/>
      <c r="F377" s="7" t="n"/>
      <c r="G377" s="6" t="n"/>
      <c r="H377" s="6" t="n"/>
      <c r="I377" s="7" t="n"/>
      <c r="J377" s="8" t="n"/>
      <c r="K377" s="6" t="n"/>
      <c r="L377" s="9">
        <f>IF(OR(E377="",F377=""),"",ROUND(IF(D377="Short",E377-F377,F377-E377)*G377*H377-I377,2))</f>
        <v/>
      </c>
      <c r="M377" s="10">
        <f>IF(OR(L377="",N(J377)&lt;=0),"",L377/J377)</f>
        <v/>
      </c>
      <c r="N377" s="11">
        <f>IF(L377="","",IF(L377&gt;0,"Win",IF(L377&lt;0,"Loss","Flat")))</f>
        <v/>
      </c>
      <c r="O377" s="9">
        <f>IF(L377="","",SUM($L$2:L377))</f>
        <v/>
      </c>
      <c r="P377" s="9">
        <f>IF(L377="","",MAX(0,MAX($O$2:O377)))</f>
        <v/>
      </c>
      <c r="Q377" s="9">
        <f>IF(L377="","",P377-O377)</f>
        <v/>
      </c>
      <c r="S377">
        <f>IF(N377="Win",N(S376)+1,0)</f>
        <v/>
      </c>
      <c r="T377">
        <f>IF(N377="Loss",N(T376)+1,0)</f>
        <v/>
      </c>
    </row>
    <row r="378">
      <c r="A378" s="5" t="n"/>
      <c r="B378" s="6" t="n"/>
      <c r="C378" s="6" t="n"/>
      <c r="D378" s="6" t="n"/>
      <c r="E378" s="7" t="n"/>
      <c r="F378" s="7" t="n"/>
      <c r="G378" s="6" t="n"/>
      <c r="H378" s="6" t="n"/>
      <c r="I378" s="7" t="n"/>
      <c r="J378" s="8" t="n"/>
      <c r="K378" s="6" t="n"/>
      <c r="L378" s="9">
        <f>IF(OR(E378="",F378=""),"",ROUND(IF(D378="Short",E378-F378,F378-E378)*G378*H378-I378,2))</f>
        <v/>
      </c>
      <c r="M378" s="10">
        <f>IF(OR(L378="",N(J378)&lt;=0),"",L378/J378)</f>
        <v/>
      </c>
      <c r="N378" s="11">
        <f>IF(L378="","",IF(L378&gt;0,"Win",IF(L378&lt;0,"Loss","Flat")))</f>
        <v/>
      </c>
      <c r="O378" s="9">
        <f>IF(L378="","",SUM($L$2:L378))</f>
        <v/>
      </c>
      <c r="P378" s="9">
        <f>IF(L378="","",MAX(0,MAX($O$2:O378)))</f>
        <v/>
      </c>
      <c r="Q378" s="9">
        <f>IF(L378="","",P378-O378)</f>
        <v/>
      </c>
      <c r="S378">
        <f>IF(N378="Win",N(S377)+1,0)</f>
        <v/>
      </c>
      <c r="T378">
        <f>IF(N378="Loss",N(T377)+1,0)</f>
        <v/>
      </c>
    </row>
    <row r="379">
      <c r="A379" s="5" t="n"/>
      <c r="B379" s="6" t="n"/>
      <c r="C379" s="6" t="n"/>
      <c r="D379" s="6" t="n"/>
      <c r="E379" s="7" t="n"/>
      <c r="F379" s="7" t="n"/>
      <c r="G379" s="6" t="n"/>
      <c r="H379" s="6" t="n"/>
      <c r="I379" s="7" t="n"/>
      <c r="J379" s="8" t="n"/>
      <c r="K379" s="6" t="n"/>
      <c r="L379" s="9">
        <f>IF(OR(E379="",F379=""),"",ROUND(IF(D379="Short",E379-F379,F379-E379)*G379*H379-I379,2))</f>
        <v/>
      </c>
      <c r="M379" s="10">
        <f>IF(OR(L379="",N(J379)&lt;=0),"",L379/J379)</f>
        <v/>
      </c>
      <c r="N379" s="11">
        <f>IF(L379="","",IF(L379&gt;0,"Win",IF(L379&lt;0,"Loss","Flat")))</f>
        <v/>
      </c>
      <c r="O379" s="9">
        <f>IF(L379="","",SUM($L$2:L379))</f>
        <v/>
      </c>
      <c r="P379" s="9">
        <f>IF(L379="","",MAX(0,MAX($O$2:O379)))</f>
        <v/>
      </c>
      <c r="Q379" s="9">
        <f>IF(L379="","",P379-O379)</f>
        <v/>
      </c>
      <c r="S379">
        <f>IF(N379="Win",N(S378)+1,0)</f>
        <v/>
      </c>
      <c r="T379">
        <f>IF(N379="Loss",N(T378)+1,0)</f>
        <v/>
      </c>
    </row>
    <row r="380">
      <c r="A380" s="5" t="n"/>
      <c r="B380" s="6" t="n"/>
      <c r="C380" s="6" t="n"/>
      <c r="D380" s="6" t="n"/>
      <c r="E380" s="7" t="n"/>
      <c r="F380" s="7" t="n"/>
      <c r="G380" s="6" t="n"/>
      <c r="H380" s="6" t="n"/>
      <c r="I380" s="7" t="n"/>
      <c r="J380" s="8" t="n"/>
      <c r="K380" s="6" t="n"/>
      <c r="L380" s="9">
        <f>IF(OR(E380="",F380=""),"",ROUND(IF(D380="Short",E380-F380,F380-E380)*G380*H380-I380,2))</f>
        <v/>
      </c>
      <c r="M380" s="10">
        <f>IF(OR(L380="",N(J380)&lt;=0),"",L380/J380)</f>
        <v/>
      </c>
      <c r="N380" s="11">
        <f>IF(L380="","",IF(L380&gt;0,"Win",IF(L380&lt;0,"Loss","Flat")))</f>
        <v/>
      </c>
      <c r="O380" s="9">
        <f>IF(L380="","",SUM($L$2:L380))</f>
        <v/>
      </c>
      <c r="P380" s="9">
        <f>IF(L380="","",MAX(0,MAX($O$2:O380)))</f>
        <v/>
      </c>
      <c r="Q380" s="9">
        <f>IF(L380="","",P380-O380)</f>
        <v/>
      </c>
      <c r="S380">
        <f>IF(N380="Win",N(S379)+1,0)</f>
        <v/>
      </c>
      <c r="T380">
        <f>IF(N380="Loss",N(T379)+1,0)</f>
        <v/>
      </c>
    </row>
    <row r="381">
      <c r="A381" s="5" t="n"/>
      <c r="B381" s="6" t="n"/>
      <c r="C381" s="6" t="n"/>
      <c r="D381" s="6" t="n"/>
      <c r="E381" s="7" t="n"/>
      <c r="F381" s="7" t="n"/>
      <c r="G381" s="6" t="n"/>
      <c r="H381" s="6" t="n"/>
      <c r="I381" s="7" t="n"/>
      <c r="J381" s="8" t="n"/>
      <c r="K381" s="6" t="n"/>
      <c r="L381" s="9">
        <f>IF(OR(E381="",F381=""),"",ROUND(IF(D381="Short",E381-F381,F381-E381)*G381*H381-I381,2))</f>
        <v/>
      </c>
      <c r="M381" s="10">
        <f>IF(OR(L381="",N(J381)&lt;=0),"",L381/J381)</f>
        <v/>
      </c>
      <c r="N381" s="11">
        <f>IF(L381="","",IF(L381&gt;0,"Win",IF(L381&lt;0,"Loss","Flat")))</f>
        <v/>
      </c>
      <c r="O381" s="9">
        <f>IF(L381="","",SUM($L$2:L381))</f>
        <v/>
      </c>
      <c r="P381" s="9">
        <f>IF(L381="","",MAX(0,MAX($O$2:O381)))</f>
        <v/>
      </c>
      <c r="Q381" s="9">
        <f>IF(L381="","",P381-O381)</f>
        <v/>
      </c>
      <c r="S381">
        <f>IF(N381="Win",N(S380)+1,0)</f>
        <v/>
      </c>
      <c r="T381">
        <f>IF(N381="Loss",N(T380)+1,0)</f>
        <v/>
      </c>
    </row>
    <row r="382">
      <c r="A382" s="5" t="n"/>
      <c r="B382" s="6" t="n"/>
      <c r="C382" s="6" t="n"/>
      <c r="D382" s="6" t="n"/>
      <c r="E382" s="7" t="n"/>
      <c r="F382" s="7" t="n"/>
      <c r="G382" s="6" t="n"/>
      <c r="H382" s="6" t="n"/>
      <c r="I382" s="7" t="n"/>
      <c r="J382" s="8" t="n"/>
      <c r="K382" s="6" t="n"/>
      <c r="L382" s="9">
        <f>IF(OR(E382="",F382=""),"",ROUND(IF(D382="Short",E382-F382,F382-E382)*G382*H382-I382,2))</f>
        <v/>
      </c>
      <c r="M382" s="10">
        <f>IF(OR(L382="",N(J382)&lt;=0),"",L382/J382)</f>
        <v/>
      </c>
      <c r="N382" s="11">
        <f>IF(L382="","",IF(L382&gt;0,"Win",IF(L382&lt;0,"Loss","Flat")))</f>
        <v/>
      </c>
      <c r="O382" s="9">
        <f>IF(L382="","",SUM($L$2:L382))</f>
        <v/>
      </c>
      <c r="P382" s="9">
        <f>IF(L382="","",MAX(0,MAX($O$2:O382)))</f>
        <v/>
      </c>
      <c r="Q382" s="9">
        <f>IF(L382="","",P382-O382)</f>
        <v/>
      </c>
      <c r="S382">
        <f>IF(N382="Win",N(S381)+1,0)</f>
        <v/>
      </c>
      <c r="T382">
        <f>IF(N382="Loss",N(T381)+1,0)</f>
        <v/>
      </c>
    </row>
    <row r="383">
      <c r="A383" s="5" t="n"/>
      <c r="B383" s="6" t="n"/>
      <c r="C383" s="6" t="n"/>
      <c r="D383" s="6" t="n"/>
      <c r="E383" s="7" t="n"/>
      <c r="F383" s="7" t="n"/>
      <c r="G383" s="6" t="n"/>
      <c r="H383" s="6" t="n"/>
      <c r="I383" s="7" t="n"/>
      <c r="J383" s="8" t="n"/>
      <c r="K383" s="6" t="n"/>
      <c r="L383" s="9">
        <f>IF(OR(E383="",F383=""),"",ROUND(IF(D383="Short",E383-F383,F383-E383)*G383*H383-I383,2))</f>
        <v/>
      </c>
      <c r="M383" s="10">
        <f>IF(OR(L383="",N(J383)&lt;=0),"",L383/J383)</f>
        <v/>
      </c>
      <c r="N383" s="11">
        <f>IF(L383="","",IF(L383&gt;0,"Win",IF(L383&lt;0,"Loss","Flat")))</f>
        <v/>
      </c>
      <c r="O383" s="9">
        <f>IF(L383="","",SUM($L$2:L383))</f>
        <v/>
      </c>
      <c r="P383" s="9">
        <f>IF(L383="","",MAX(0,MAX($O$2:O383)))</f>
        <v/>
      </c>
      <c r="Q383" s="9">
        <f>IF(L383="","",P383-O383)</f>
        <v/>
      </c>
      <c r="S383">
        <f>IF(N383="Win",N(S382)+1,0)</f>
        <v/>
      </c>
      <c r="T383">
        <f>IF(N383="Loss",N(T382)+1,0)</f>
        <v/>
      </c>
    </row>
    <row r="384">
      <c r="A384" s="5" t="n"/>
      <c r="B384" s="6" t="n"/>
      <c r="C384" s="6" t="n"/>
      <c r="D384" s="6" t="n"/>
      <c r="E384" s="7" t="n"/>
      <c r="F384" s="7" t="n"/>
      <c r="G384" s="6" t="n"/>
      <c r="H384" s="6" t="n"/>
      <c r="I384" s="7" t="n"/>
      <c r="J384" s="8" t="n"/>
      <c r="K384" s="6" t="n"/>
      <c r="L384" s="9">
        <f>IF(OR(E384="",F384=""),"",ROUND(IF(D384="Short",E384-F384,F384-E384)*G384*H384-I384,2))</f>
        <v/>
      </c>
      <c r="M384" s="10">
        <f>IF(OR(L384="",N(J384)&lt;=0),"",L384/J384)</f>
        <v/>
      </c>
      <c r="N384" s="11">
        <f>IF(L384="","",IF(L384&gt;0,"Win",IF(L384&lt;0,"Loss","Flat")))</f>
        <v/>
      </c>
      <c r="O384" s="9">
        <f>IF(L384="","",SUM($L$2:L384))</f>
        <v/>
      </c>
      <c r="P384" s="9">
        <f>IF(L384="","",MAX(0,MAX($O$2:O384)))</f>
        <v/>
      </c>
      <c r="Q384" s="9">
        <f>IF(L384="","",P384-O384)</f>
        <v/>
      </c>
      <c r="S384">
        <f>IF(N384="Win",N(S383)+1,0)</f>
        <v/>
      </c>
      <c r="T384">
        <f>IF(N384="Loss",N(T383)+1,0)</f>
        <v/>
      </c>
    </row>
    <row r="385">
      <c r="A385" s="5" t="n"/>
      <c r="B385" s="6" t="n"/>
      <c r="C385" s="6" t="n"/>
      <c r="D385" s="6" t="n"/>
      <c r="E385" s="7" t="n"/>
      <c r="F385" s="7" t="n"/>
      <c r="G385" s="6" t="n"/>
      <c r="H385" s="6" t="n"/>
      <c r="I385" s="7" t="n"/>
      <c r="J385" s="8" t="n"/>
      <c r="K385" s="6" t="n"/>
      <c r="L385" s="9">
        <f>IF(OR(E385="",F385=""),"",ROUND(IF(D385="Short",E385-F385,F385-E385)*G385*H385-I385,2))</f>
        <v/>
      </c>
      <c r="M385" s="10">
        <f>IF(OR(L385="",N(J385)&lt;=0),"",L385/J385)</f>
        <v/>
      </c>
      <c r="N385" s="11">
        <f>IF(L385="","",IF(L385&gt;0,"Win",IF(L385&lt;0,"Loss","Flat")))</f>
        <v/>
      </c>
      <c r="O385" s="9">
        <f>IF(L385="","",SUM($L$2:L385))</f>
        <v/>
      </c>
      <c r="P385" s="9">
        <f>IF(L385="","",MAX(0,MAX($O$2:O385)))</f>
        <v/>
      </c>
      <c r="Q385" s="9">
        <f>IF(L385="","",P385-O385)</f>
        <v/>
      </c>
      <c r="S385">
        <f>IF(N385="Win",N(S384)+1,0)</f>
        <v/>
      </c>
      <c r="T385">
        <f>IF(N385="Loss",N(T384)+1,0)</f>
        <v/>
      </c>
    </row>
    <row r="386">
      <c r="A386" s="5" t="n"/>
      <c r="B386" s="6" t="n"/>
      <c r="C386" s="6" t="n"/>
      <c r="D386" s="6" t="n"/>
      <c r="E386" s="7" t="n"/>
      <c r="F386" s="7" t="n"/>
      <c r="G386" s="6" t="n"/>
      <c r="H386" s="6" t="n"/>
      <c r="I386" s="7" t="n"/>
      <c r="J386" s="8" t="n"/>
      <c r="K386" s="6" t="n"/>
      <c r="L386" s="9">
        <f>IF(OR(E386="",F386=""),"",ROUND(IF(D386="Short",E386-F386,F386-E386)*G386*H386-I386,2))</f>
        <v/>
      </c>
      <c r="M386" s="10">
        <f>IF(OR(L386="",N(J386)&lt;=0),"",L386/J386)</f>
        <v/>
      </c>
      <c r="N386" s="11">
        <f>IF(L386="","",IF(L386&gt;0,"Win",IF(L386&lt;0,"Loss","Flat")))</f>
        <v/>
      </c>
      <c r="O386" s="9">
        <f>IF(L386="","",SUM($L$2:L386))</f>
        <v/>
      </c>
      <c r="P386" s="9">
        <f>IF(L386="","",MAX(0,MAX($O$2:O386)))</f>
        <v/>
      </c>
      <c r="Q386" s="9">
        <f>IF(L386="","",P386-O386)</f>
        <v/>
      </c>
      <c r="S386">
        <f>IF(N386="Win",N(S385)+1,0)</f>
        <v/>
      </c>
      <c r="T386">
        <f>IF(N386="Loss",N(T385)+1,0)</f>
        <v/>
      </c>
    </row>
    <row r="387">
      <c r="A387" s="5" t="n"/>
      <c r="B387" s="6" t="n"/>
      <c r="C387" s="6" t="n"/>
      <c r="D387" s="6" t="n"/>
      <c r="E387" s="7" t="n"/>
      <c r="F387" s="7" t="n"/>
      <c r="G387" s="6" t="n"/>
      <c r="H387" s="6" t="n"/>
      <c r="I387" s="7" t="n"/>
      <c r="J387" s="8" t="n"/>
      <c r="K387" s="6" t="n"/>
      <c r="L387" s="9">
        <f>IF(OR(E387="",F387=""),"",ROUND(IF(D387="Short",E387-F387,F387-E387)*G387*H387-I387,2))</f>
        <v/>
      </c>
      <c r="M387" s="10">
        <f>IF(OR(L387="",N(J387)&lt;=0),"",L387/J387)</f>
        <v/>
      </c>
      <c r="N387" s="11">
        <f>IF(L387="","",IF(L387&gt;0,"Win",IF(L387&lt;0,"Loss","Flat")))</f>
        <v/>
      </c>
      <c r="O387" s="9">
        <f>IF(L387="","",SUM($L$2:L387))</f>
        <v/>
      </c>
      <c r="P387" s="9">
        <f>IF(L387="","",MAX(0,MAX($O$2:O387)))</f>
        <v/>
      </c>
      <c r="Q387" s="9">
        <f>IF(L387="","",P387-O387)</f>
        <v/>
      </c>
      <c r="S387">
        <f>IF(N387="Win",N(S386)+1,0)</f>
        <v/>
      </c>
      <c r="T387">
        <f>IF(N387="Loss",N(T386)+1,0)</f>
        <v/>
      </c>
    </row>
    <row r="388">
      <c r="A388" s="5" t="n"/>
      <c r="B388" s="6" t="n"/>
      <c r="C388" s="6" t="n"/>
      <c r="D388" s="6" t="n"/>
      <c r="E388" s="7" t="n"/>
      <c r="F388" s="7" t="n"/>
      <c r="G388" s="6" t="n"/>
      <c r="H388" s="6" t="n"/>
      <c r="I388" s="7" t="n"/>
      <c r="J388" s="8" t="n"/>
      <c r="K388" s="6" t="n"/>
      <c r="L388" s="9">
        <f>IF(OR(E388="",F388=""),"",ROUND(IF(D388="Short",E388-F388,F388-E388)*G388*H388-I388,2))</f>
        <v/>
      </c>
      <c r="M388" s="10">
        <f>IF(OR(L388="",N(J388)&lt;=0),"",L388/J388)</f>
        <v/>
      </c>
      <c r="N388" s="11">
        <f>IF(L388="","",IF(L388&gt;0,"Win",IF(L388&lt;0,"Loss","Flat")))</f>
        <v/>
      </c>
      <c r="O388" s="9">
        <f>IF(L388="","",SUM($L$2:L388))</f>
        <v/>
      </c>
      <c r="P388" s="9">
        <f>IF(L388="","",MAX(0,MAX($O$2:O388)))</f>
        <v/>
      </c>
      <c r="Q388" s="9">
        <f>IF(L388="","",P388-O388)</f>
        <v/>
      </c>
      <c r="S388">
        <f>IF(N388="Win",N(S387)+1,0)</f>
        <v/>
      </c>
      <c r="T388">
        <f>IF(N388="Loss",N(T387)+1,0)</f>
        <v/>
      </c>
    </row>
    <row r="389">
      <c r="A389" s="5" t="n"/>
      <c r="B389" s="6" t="n"/>
      <c r="C389" s="6" t="n"/>
      <c r="D389" s="6" t="n"/>
      <c r="E389" s="7" t="n"/>
      <c r="F389" s="7" t="n"/>
      <c r="G389" s="6" t="n"/>
      <c r="H389" s="6" t="n"/>
      <c r="I389" s="7" t="n"/>
      <c r="J389" s="8" t="n"/>
      <c r="K389" s="6" t="n"/>
      <c r="L389" s="9">
        <f>IF(OR(E389="",F389=""),"",ROUND(IF(D389="Short",E389-F389,F389-E389)*G389*H389-I389,2))</f>
        <v/>
      </c>
      <c r="M389" s="10">
        <f>IF(OR(L389="",N(J389)&lt;=0),"",L389/J389)</f>
        <v/>
      </c>
      <c r="N389" s="11">
        <f>IF(L389="","",IF(L389&gt;0,"Win",IF(L389&lt;0,"Loss","Flat")))</f>
        <v/>
      </c>
      <c r="O389" s="9">
        <f>IF(L389="","",SUM($L$2:L389))</f>
        <v/>
      </c>
      <c r="P389" s="9">
        <f>IF(L389="","",MAX(0,MAX($O$2:O389)))</f>
        <v/>
      </c>
      <c r="Q389" s="9">
        <f>IF(L389="","",P389-O389)</f>
        <v/>
      </c>
      <c r="S389">
        <f>IF(N389="Win",N(S388)+1,0)</f>
        <v/>
      </c>
      <c r="T389">
        <f>IF(N389="Loss",N(T388)+1,0)</f>
        <v/>
      </c>
    </row>
    <row r="390">
      <c r="A390" s="5" t="n"/>
      <c r="B390" s="6" t="n"/>
      <c r="C390" s="6" t="n"/>
      <c r="D390" s="6" t="n"/>
      <c r="E390" s="7" t="n"/>
      <c r="F390" s="7" t="n"/>
      <c r="G390" s="6" t="n"/>
      <c r="H390" s="6" t="n"/>
      <c r="I390" s="7" t="n"/>
      <c r="J390" s="8" t="n"/>
      <c r="K390" s="6" t="n"/>
      <c r="L390" s="9">
        <f>IF(OR(E390="",F390=""),"",ROUND(IF(D390="Short",E390-F390,F390-E390)*G390*H390-I390,2))</f>
        <v/>
      </c>
      <c r="M390" s="10">
        <f>IF(OR(L390="",N(J390)&lt;=0),"",L390/J390)</f>
        <v/>
      </c>
      <c r="N390" s="11">
        <f>IF(L390="","",IF(L390&gt;0,"Win",IF(L390&lt;0,"Loss","Flat")))</f>
        <v/>
      </c>
      <c r="O390" s="9">
        <f>IF(L390="","",SUM($L$2:L390))</f>
        <v/>
      </c>
      <c r="P390" s="9">
        <f>IF(L390="","",MAX(0,MAX($O$2:O390)))</f>
        <v/>
      </c>
      <c r="Q390" s="9">
        <f>IF(L390="","",P390-O390)</f>
        <v/>
      </c>
      <c r="S390">
        <f>IF(N390="Win",N(S389)+1,0)</f>
        <v/>
      </c>
      <c r="T390">
        <f>IF(N390="Loss",N(T389)+1,0)</f>
        <v/>
      </c>
    </row>
    <row r="391">
      <c r="A391" s="5" t="n"/>
      <c r="B391" s="6" t="n"/>
      <c r="C391" s="6" t="n"/>
      <c r="D391" s="6" t="n"/>
      <c r="E391" s="7" t="n"/>
      <c r="F391" s="7" t="n"/>
      <c r="G391" s="6" t="n"/>
      <c r="H391" s="6" t="n"/>
      <c r="I391" s="7" t="n"/>
      <c r="J391" s="8" t="n"/>
      <c r="K391" s="6" t="n"/>
      <c r="L391" s="9">
        <f>IF(OR(E391="",F391=""),"",ROUND(IF(D391="Short",E391-F391,F391-E391)*G391*H391-I391,2))</f>
        <v/>
      </c>
      <c r="M391" s="10">
        <f>IF(OR(L391="",N(J391)&lt;=0),"",L391/J391)</f>
        <v/>
      </c>
      <c r="N391" s="11">
        <f>IF(L391="","",IF(L391&gt;0,"Win",IF(L391&lt;0,"Loss","Flat")))</f>
        <v/>
      </c>
      <c r="O391" s="9">
        <f>IF(L391="","",SUM($L$2:L391))</f>
        <v/>
      </c>
      <c r="P391" s="9">
        <f>IF(L391="","",MAX(0,MAX($O$2:O391)))</f>
        <v/>
      </c>
      <c r="Q391" s="9">
        <f>IF(L391="","",P391-O391)</f>
        <v/>
      </c>
      <c r="S391">
        <f>IF(N391="Win",N(S390)+1,0)</f>
        <v/>
      </c>
      <c r="T391">
        <f>IF(N391="Loss",N(T390)+1,0)</f>
        <v/>
      </c>
    </row>
    <row r="392">
      <c r="A392" s="5" t="n"/>
      <c r="B392" s="6" t="n"/>
      <c r="C392" s="6" t="n"/>
      <c r="D392" s="6" t="n"/>
      <c r="E392" s="7" t="n"/>
      <c r="F392" s="7" t="n"/>
      <c r="G392" s="6" t="n"/>
      <c r="H392" s="6" t="n"/>
      <c r="I392" s="7" t="n"/>
      <c r="J392" s="8" t="n"/>
      <c r="K392" s="6" t="n"/>
      <c r="L392" s="9">
        <f>IF(OR(E392="",F392=""),"",ROUND(IF(D392="Short",E392-F392,F392-E392)*G392*H392-I392,2))</f>
        <v/>
      </c>
      <c r="M392" s="10">
        <f>IF(OR(L392="",N(J392)&lt;=0),"",L392/J392)</f>
        <v/>
      </c>
      <c r="N392" s="11">
        <f>IF(L392="","",IF(L392&gt;0,"Win",IF(L392&lt;0,"Loss","Flat")))</f>
        <v/>
      </c>
      <c r="O392" s="9">
        <f>IF(L392="","",SUM($L$2:L392))</f>
        <v/>
      </c>
      <c r="P392" s="9">
        <f>IF(L392="","",MAX(0,MAX($O$2:O392)))</f>
        <v/>
      </c>
      <c r="Q392" s="9">
        <f>IF(L392="","",P392-O392)</f>
        <v/>
      </c>
      <c r="S392">
        <f>IF(N392="Win",N(S391)+1,0)</f>
        <v/>
      </c>
      <c r="T392">
        <f>IF(N392="Loss",N(T391)+1,0)</f>
        <v/>
      </c>
    </row>
    <row r="393">
      <c r="A393" s="5" t="n"/>
      <c r="B393" s="6" t="n"/>
      <c r="C393" s="6" t="n"/>
      <c r="D393" s="6" t="n"/>
      <c r="E393" s="7" t="n"/>
      <c r="F393" s="7" t="n"/>
      <c r="G393" s="6" t="n"/>
      <c r="H393" s="6" t="n"/>
      <c r="I393" s="7" t="n"/>
      <c r="J393" s="8" t="n"/>
      <c r="K393" s="6" t="n"/>
      <c r="L393" s="9">
        <f>IF(OR(E393="",F393=""),"",ROUND(IF(D393="Short",E393-F393,F393-E393)*G393*H393-I393,2))</f>
        <v/>
      </c>
      <c r="M393" s="10">
        <f>IF(OR(L393="",N(J393)&lt;=0),"",L393/J393)</f>
        <v/>
      </c>
      <c r="N393" s="11">
        <f>IF(L393="","",IF(L393&gt;0,"Win",IF(L393&lt;0,"Loss","Flat")))</f>
        <v/>
      </c>
      <c r="O393" s="9">
        <f>IF(L393="","",SUM($L$2:L393))</f>
        <v/>
      </c>
      <c r="P393" s="9">
        <f>IF(L393="","",MAX(0,MAX($O$2:O393)))</f>
        <v/>
      </c>
      <c r="Q393" s="9">
        <f>IF(L393="","",P393-O393)</f>
        <v/>
      </c>
      <c r="S393">
        <f>IF(N393="Win",N(S392)+1,0)</f>
        <v/>
      </c>
      <c r="T393">
        <f>IF(N393="Loss",N(T392)+1,0)</f>
        <v/>
      </c>
    </row>
    <row r="394">
      <c r="A394" s="5" t="n"/>
      <c r="B394" s="6" t="n"/>
      <c r="C394" s="6" t="n"/>
      <c r="D394" s="6" t="n"/>
      <c r="E394" s="7" t="n"/>
      <c r="F394" s="7" t="n"/>
      <c r="G394" s="6" t="n"/>
      <c r="H394" s="6" t="n"/>
      <c r="I394" s="7" t="n"/>
      <c r="J394" s="8" t="n"/>
      <c r="K394" s="6" t="n"/>
      <c r="L394" s="9">
        <f>IF(OR(E394="",F394=""),"",ROUND(IF(D394="Short",E394-F394,F394-E394)*G394*H394-I394,2))</f>
        <v/>
      </c>
      <c r="M394" s="10">
        <f>IF(OR(L394="",N(J394)&lt;=0),"",L394/J394)</f>
        <v/>
      </c>
      <c r="N394" s="11">
        <f>IF(L394="","",IF(L394&gt;0,"Win",IF(L394&lt;0,"Loss","Flat")))</f>
        <v/>
      </c>
      <c r="O394" s="9">
        <f>IF(L394="","",SUM($L$2:L394))</f>
        <v/>
      </c>
      <c r="P394" s="9">
        <f>IF(L394="","",MAX(0,MAX($O$2:O394)))</f>
        <v/>
      </c>
      <c r="Q394" s="9">
        <f>IF(L394="","",P394-O394)</f>
        <v/>
      </c>
      <c r="S394">
        <f>IF(N394="Win",N(S393)+1,0)</f>
        <v/>
      </c>
      <c r="T394">
        <f>IF(N394="Loss",N(T393)+1,0)</f>
        <v/>
      </c>
    </row>
    <row r="395">
      <c r="A395" s="5" t="n"/>
      <c r="B395" s="6" t="n"/>
      <c r="C395" s="6" t="n"/>
      <c r="D395" s="6" t="n"/>
      <c r="E395" s="7" t="n"/>
      <c r="F395" s="7" t="n"/>
      <c r="G395" s="6" t="n"/>
      <c r="H395" s="6" t="n"/>
      <c r="I395" s="7" t="n"/>
      <c r="J395" s="8" t="n"/>
      <c r="K395" s="6" t="n"/>
      <c r="L395" s="9">
        <f>IF(OR(E395="",F395=""),"",ROUND(IF(D395="Short",E395-F395,F395-E395)*G395*H395-I395,2))</f>
        <v/>
      </c>
      <c r="M395" s="10">
        <f>IF(OR(L395="",N(J395)&lt;=0),"",L395/J395)</f>
        <v/>
      </c>
      <c r="N395" s="11">
        <f>IF(L395="","",IF(L395&gt;0,"Win",IF(L395&lt;0,"Loss","Flat")))</f>
        <v/>
      </c>
      <c r="O395" s="9">
        <f>IF(L395="","",SUM($L$2:L395))</f>
        <v/>
      </c>
      <c r="P395" s="9">
        <f>IF(L395="","",MAX(0,MAX($O$2:O395)))</f>
        <v/>
      </c>
      <c r="Q395" s="9">
        <f>IF(L395="","",P395-O395)</f>
        <v/>
      </c>
      <c r="S395">
        <f>IF(N395="Win",N(S394)+1,0)</f>
        <v/>
      </c>
      <c r="T395">
        <f>IF(N395="Loss",N(T394)+1,0)</f>
        <v/>
      </c>
    </row>
    <row r="396">
      <c r="A396" s="5" t="n"/>
      <c r="B396" s="6" t="n"/>
      <c r="C396" s="6" t="n"/>
      <c r="D396" s="6" t="n"/>
      <c r="E396" s="7" t="n"/>
      <c r="F396" s="7" t="n"/>
      <c r="G396" s="6" t="n"/>
      <c r="H396" s="6" t="n"/>
      <c r="I396" s="7" t="n"/>
      <c r="J396" s="8" t="n"/>
      <c r="K396" s="6" t="n"/>
      <c r="L396" s="9">
        <f>IF(OR(E396="",F396=""),"",ROUND(IF(D396="Short",E396-F396,F396-E396)*G396*H396-I396,2))</f>
        <v/>
      </c>
      <c r="M396" s="10">
        <f>IF(OR(L396="",N(J396)&lt;=0),"",L396/J396)</f>
        <v/>
      </c>
      <c r="N396" s="11">
        <f>IF(L396="","",IF(L396&gt;0,"Win",IF(L396&lt;0,"Loss","Flat")))</f>
        <v/>
      </c>
      <c r="O396" s="9">
        <f>IF(L396="","",SUM($L$2:L396))</f>
        <v/>
      </c>
      <c r="P396" s="9">
        <f>IF(L396="","",MAX(0,MAX($O$2:O396)))</f>
        <v/>
      </c>
      <c r="Q396" s="9">
        <f>IF(L396="","",P396-O396)</f>
        <v/>
      </c>
      <c r="S396">
        <f>IF(N396="Win",N(S395)+1,0)</f>
        <v/>
      </c>
      <c r="T396">
        <f>IF(N396="Loss",N(T395)+1,0)</f>
        <v/>
      </c>
    </row>
    <row r="397">
      <c r="A397" s="5" t="n"/>
      <c r="B397" s="6" t="n"/>
      <c r="C397" s="6" t="n"/>
      <c r="D397" s="6" t="n"/>
      <c r="E397" s="7" t="n"/>
      <c r="F397" s="7" t="n"/>
      <c r="G397" s="6" t="n"/>
      <c r="H397" s="6" t="n"/>
      <c r="I397" s="7" t="n"/>
      <c r="J397" s="8" t="n"/>
      <c r="K397" s="6" t="n"/>
      <c r="L397" s="9">
        <f>IF(OR(E397="",F397=""),"",ROUND(IF(D397="Short",E397-F397,F397-E397)*G397*H397-I397,2))</f>
        <v/>
      </c>
      <c r="M397" s="10">
        <f>IF(OR(L397="",N(J397)&lt;=0),"",L397/J397)</f>
        <v/>
      </c>
      <c r="N397" s="11">
        <f>IF(L397="","",IF(L397&gt;0,"Win",IF(L397&lt;0,"Loss","Flat")))</f>
        <v/>
      </c>
      <c r="O397" s="9">
        <f>IF(L397="","",SUM($L$2:L397))</f>
        <v/>
      </c>
      <c r="P397" s="9">
        <f>IF(L397="","",MAX(0,MAX($O$2:O397)))</f>
        <v/>
      </c>
      <c r="Q397" s="9">
        <f>IF(L397="","",P397-O397)</f>
        <v/>
      </c>
      <c r="S397">
        <f>IF(N397="Win",N(S396)+1,0)</f>
        <v/>
      </c>
      <c r="T397">
        <f>IF(N397="Loss",N(T396)+1,0)</f>
        <v/>
      </c>
    </row>
    <row r="398">
      <c r="A398" s="5" t="n"/>
      <c r="B398" s="6" t="n"/>
      <c r="C398" s="6" t="n"/>
      <c r="D398" s="6" t="n"/>
      <c r="E398" s="7" t="n"/>
      <c r="F398" s="7" t="n"/>
      <c r="G398" s="6" t="n"/>
      <c r="H398" s="6" t="n"/>
      <c r="I398" s="7" t="n"/>
      <c r="J398" s="8" t="n"/>
      <c r="K398" s="6" t="n"/>
      <c r="L398" s="9">
        <f>IF(OR(E398="",F398=""),"",ROUND(IF(D398="Short",E398-F398,F398-E398)*G398*H398-I398,2))</f>
        <v/>
      </c>
      <c r="M398" s="10">
        <f>IF(OR(L398="",N(J398)&lt;=0),"",L398/J398)</f>
        <v/>
      </c>
      <c r="N398" s="11">
        <f>IF(L398="","",IF(L398&gt;0,"Win",IF(L398&lt;0,"Loss","Flat")))</f>
        <v/>
      </c>
      <c r="O398" s="9">
        <f>IF(L398="","",SUM($L$2:L398))</f>
        <v/>
      </c>
      <c r="P398" s="9">
        <f>IF(L398="","",MAX(0,MAX($O$2:O398)))</f>
        <v/>
      </c>
      <c r="Q398" s="9">
        <f>IF(L398="","",P398-O398)</f>
        <v/>
      </c>
      <c r="S398">
        <f>IF(N398="Win",N(S397)+1,0)</f>
        <v/>
      </c>
      <c r="T398">
        <f>IF(N398="Loss",N(T397)+1,0)</f>
        <v/>
      </c>
    </row>
    <row r="399">
      <c r="A399" s="5" t="n"/>
      <c r="B399" s="6" t="n"/>
      <c r="C399" s="6" t="n"/>
      <c r="D399" s="6" t="n"/>
      <c r="E399" s="7" t="n"/>
      <c r="F399" s="7" t="n"/>
      <c r="G399" s="6" t="n"/>
      <c r="H399" s="6" t="n"/>
      <c r="I399" s="7" t="n"/>
      <c r="J399" s="8" t="n"/>
      <c r="K399" s="6" t="n"/>
      <c r="L399" s="9">
        <f>IF(OR(E399="",F399=""),"",ROUND(IF(D399="Short",E399-F399,F399-E399)*G399*H399-I399,2))</f>
        <v/>
      </c>
      <c r="M399" s="10">
        <f>IF(OR(L399="",N(J399)&lt;=0),"",L399/J399)</f>
        <v/>
      </c>
      <c r="N399" s="11">
        <f>IF(L399="","",IF(L399&gt;0,"Win",IF(L399&lt;0,"Loss","Flat")))</f>
        <v/>
      </c>
      <c r="O399" s="9">
        <f>IF(L399="","",SUM($L$2:L399))</f>
        <v/>
      </c>
      <c r="P399" s="9">
        <f>IF(L399="","",MAX(0,MAX($O$2:O399)))</f>
        <v/>
      </c>
      <c r="Q399" s="9">
        <f>IF(L399="","",P399-O399)</f>
        <v/>
      </c>
      <c r="S399">
        <f>IF(N399="Win",N(S398)+1,0)</f>
        <v/>
      </c>
      <c r="T399">
        <f>IF(N399="Loss",N(T398)+1,0)</f>
        <v/>
      </c>
    </row>
    <row r="400">
      <c r="A400" s="5" t="n"/>
      <c r="B400" s="6" t="n"/>
      <c r="C400" s="6" t="n"/>
      <c r="D400" s="6" t="n"/>
      <c r="E400" s="7" t="n"/>
      <c r="F400" s="7" t="n"/>
      <c r="G400" s="6" t="n"/>
      <c r="H400" s="6" t="n"/>
      <c r="I400" s="7" t="n"/>
      <c r="J400" s="8" t="n"/>
      <c r="K400" s="6" t="n"/>
      <c r="L400" s="9">
        <f>IF(OR(E400="",F400=""),"",ROUND(IF(D400="Short",E400-F400,F400-E400)*G400*H400-I400,2))</f>
        <v/>
      </c>
      <c r="M400" s="10">
        <f>IF(OR(L400="",N(J400)&lt;=0),"",L400/J400)</f>
        <v/>
      </c>
      <c r="N400" s="11">
        <f>IF(L400="","",IF(L400&gt;0,"Win",IF(L400&lt;0,"Loss","Flat")))</f>
        <v/>
      </c>
      <c r="O400" s="9">
        <f>IF(L400="","",SUM($L$2:L400))</f>
        <v/>
      </c>
      <c r="P400" s="9">
        <f>IF(L400="","",MAX(0,MAX($O$2:O400)))</f>
        <v/>
      </c>
      <c r="Q400" s="9">
        <f>IF(L400="","",P400-O400)</f>
        <v/>
      </c>
      <c r="S400">
        <f>IF(N400="Win",N(S399)+1,0)</f>
        <v/>
      </c>
      <c r="T400">
        <f>IF(N400="Loss",N(T399)+1,0)</f>
        <v/>
      </c>
    </row>
    <row r="401">
      <c r="A401" s="5" t="n"/>
      <c r="B401" s="6" t="n"/>
      <c r="C401" s="6" t="n"/>
      <c r="D401" s="6" t="n"/>
      <c r="E401" s="7" t="n"/>
      <c r="F401" s="7" t="n"/>
      <c r="G401" s="6" t="n"/>
      <c r="H401" s="6" t="n"/>
      <c r="I401" s="7" t="n"/>
      <c r="J401" s="8" t="n"/>
      <c r="K401" s="6" t="n"/>
      <c r="L401" s="9">
        <f>IF(OR(E401="",F401=""),"",ROUND(IF(D401="Short",E401-F401,F401-E401)*G401*H401-I401,2))</f>
        <v/>
      </c>
      <c r="M401" s="10">
        <f>IF(OR(L401="",N(J401)&lt;=0),"",L401/J401)</f>
        <v/>
      </c>
      <c r="N401" s="11">
        <f>IF(L401="","",IF(L401&gt;0,"Win",IF(L401&lt;0,"Loss","Flat")))</f>
        <v/>
      </c>
      <c r="O401" s="9">
        <f>IF(L401="","",SUM($L$2:L401))</f>
        <v/>
      </c>
      <c r="P401" s="9">
        <f>IF(L401="","",MAX(0,MAX($O$2:O401)))</f>
        <v/>
      </c>
      <c r="Q401" s="9">
        <f>IF(L401="","",P401-O401)</f>
        <v/>
      </c>
      <c r="S401">
        <f>IF(N401="Win",N(S400)+1,0)</f>
        <v/>
      </c>
      <c r="T401">
        <f>IF(N401="Loss",N(T400)+1,0)</f>
        <v/>
      </c>
    </row>
    <row r="402">
      <c r="A402" s="5" t="n"/>
      <c r="B402" s="6" t="n"/>
      <c r="C402" s="6" t="n"/>
      <c r="D402" s="6" t="n"/>
      <c r="E402" s="7" t="n"/>
      <c r="F402" s="7" t="n"/>
      <c r="G402" s="6" t="n"/>
      <c r="H402" s="6" t="n"/>
      <c r="I402" s="7" t="n"/>
      <c r="J402" s="8" t="n"/>
      <c r="K402" s="6" t="n"/>
      <c r="L402" s="9">
        <f>IF(OR(E402="",F402=""),"",ROUND(IF(D402="Short",E402-F402,F402-E402)*G402*H402-I402,2))</f>
        <v/>
      </c>
      <c r="M402" s="10">
        <f>IF(OR(L402="",N(J402)&lt;=0),"",L402/J402)</f>
        <v/>
      </c>
      <c r="N402" s="11">
        <f>IF(L402="","",IF(L402&gt;0,"Win",IF(L402&lt;0,"Loss","Flat")))</f>
        <v/>
      </c>
      <c r="O402" s="9">
        <f>IF(L402="","",SUM($L$2:L402))</f>
        <v/>
      </c>
      <c r="P402" s="9">
        <f>IF(L402="","",MAX(0,MAX($O$2:O402)))</f>
        <v/>
      </c>
      <c r="Q402" s="9">
        <f>IF(L402="","",P402-O402)</f>
        <v/>
      </c>
      <c r="S402">
        <f>IF(N402="Win",N(S401)+1,0)</f>
        <v/>
      </c>
      <c r="T402">
        <f>IF(N402="Loss",N(T401)+1,0)</f>
        <v/>
      </c>
    </row>
    <row r="403">
      <c r="A403" s="5" t="n"/>
      <c r="B403" s="6" t="n"/>
      <c r="C403" s="6" t="n"/>
      <c r="D403" s="6" t="n"/>
      <c r="E403" s="7" t="n"/>
      <c r="F403" s="7" t="n"/>
      <c r="G403" s="6" t="n"/>
      <c r="H403" s="6" t="n"/>
      <c r="I403" s="7" t="n"/>
      <c r="J403" s="8" t="n"/>
      <c r="K403" s="6" t="n"/>
      <c r="L403" s="9">
        <f>IF(OR(E403="",F403=""),"",ROUND(IF(D403="Short",E403-F403,F403-E403)*G403*H403-I403,2))</f>
        <v/>
      </c>
      <c r="M403" s="10">
        <f>IF(OR(L403="",N(J403)&lt;=0),"",L403/J403)</f>
        <v/>
      </c>
      <c r="N403" s="11">
        <f>IF(L403="","",IF(L403&gt;0,"Win",IF(L403&lt;0,"Loss","Flat")))</f>
        <v/>
      </c>
      <c r="O403" s="9">
        <f>IF(L403="","",SUM($L$2:L403))</f>
        <v/>
      </c>
      <c r="P403" s="9">
        <f>IF(L403="","",MAX(0,MAX($O$2:O403)))</f>
        <v/>
      </c>
      <c r="Q403" s="9">
        <f>IF(L403="","",P403-O403)</f>
        <v/>
      </c>
      <c r="S403">
        <f>IF(N403="Win",N(S402)+1,0)</f>
        <v/>
      </c>
      <c r="T403">
        <f>IF(N403="Loss",N(T402)+1,0)</f>
        <v/>
      </c>
    </row>
    <row r="404">
      <c r="A404" s="5" t="n"/>
      <c r="B404" s="6" t="n"/>
      <c r="C404" s="6" t="n"/>
      <c r="D404" s="6" t="n"/>
      <c r="E404" s="7" t="n"/>
      <c r="F404" s="7" t="n"/>
      <c r="G404" s="6" t="n"/>
      <c r="H404" s="6" t="n"/>
      <c r="I404" s="7" t="n"/>
      <c r="J404" s="8" t="n"/>
      <c r="K404" s="6" t="n"/>
      <c r="L404" s="9">
        <f>IF(OR(E404="",F404=""),"",ROUND(IF(D404="Short",E404-F404,F404-E404)*G404*H404-I404,2))</f>
        <v/>
      </c>
      <c r="M404" s="10">
        <f>IF(OR(L404="",N(J404)&lt;=0),"",L404/J404)</f>
        <v/>
      </c>
      <c r="N404" s="11">
        <f>IF(L404="","",IF(L404&gt;0,"Win",IF(L404&lt;0,"Loss","Flat")))</f>
        <v/>
      </c>
      <c r="O404" s="9">
        <f>IF(L404="","",SUM($L$2:L404))</f>
        <v/>
      </c>
      <c r="P404" s="9">
        <f>IF(L404="","",MAX(0,MAX($O$2:O404)))</f>
        <v/>
      </c>
      <c r="Q404" s="9">
        <f>IF(L404="","",P404-O404)</f>
        <v/>
      </c>
      <c r="S404">
        <f>IF(N404="Win",N(S403)+1,0)</f>
        <v/>
      </c>
      <c r="T404">
        <f>IF(N404="Loss",N(T403)+1,0)</f>
        <v/>
      </c>
    </row>
    <row r="405">
      <c r="A405" s="5" t="n"/>
      <c r="B405" s="6" t="n"/>
      <c r="C405" s="6" t="n"/>
      <c r="D405" s="6" t="n"/>
      <c r="E405" s="7" t="n"/>
      <c r="F405" s="7" t="n"/>
      <c r="G405" s="6" t="n"/>
      <c r="H405" s="6" t="n"/>
      <c r="I405" s="7" t="n"/>
      <c r="J405" s="8" t="n"/>
      <c r="K405" s="6" t="n"/>
      <c r="L405" s="9">
        <f>IF(OR(E405="",F405=""),"",ROUND(IF(D405="Short",E405-F405,F405-E405)*G405*H405-I405,2))</f>
        <v/>
      </c>
      <c r="M405" s="10">
        <f>IF(OR(L405="",N(J405)&lt;=0),"",L405/J405)</f>
        <v/>
      </c>
      <c r="N405" s="11">
        <f>IF(L405="","",IF(L405&gt;0,"Win",IF(L405&lt;0,"Loss","Flat")))</f>
        <v/>
      </c>
      <c r="O405" s="9">
        <f>IF(L405="","",SUM($L$2:L405))</f>
        <v/>
      </c>
      <c r="P405" s="9">
        <f>IF(L405="","",MAX(0,MAX($O$2:O405)))</f>
        <v/>
      </c>
      <c r="Q405" s="9">
        <f>IF(L405="","",P405-O405)</f>
        <v/>
      </c>
      <c r="S405">
        <f>IF(N405="Win",N(S404)+1,0)</f>
        <v/>
      </c>
      <c r="T405">
        <f>IF(N405="Loss",N(T404)+1,0)</f>
        <v/>
      </c>
    </row>
    <row r="406">
      <c r="A406" s="5" t="n"/>
      <c r="B406" s="6" t="n"/>
      <c r="C406" s="6" t="n"/>
      <c r="D406" s="6" t="n"/>
      <c r="E406" s="7" t="n"/>
      <c r="F406" s="7" t="n"/>
      <c r="G406" s="6" t="n"/>
      <c r="H406" s="6" t="n"/>
      <c r="I406" s="7" t="n"/>
      <c r="J406" s="8" t="n"/>
      <c r="K406" s="6" t="n"/>
      <c r="L406" s="9">
        <f>IF(OR(E406="",F406=""),"",ROUND(IF(D406="Short",E406-F406,F406-E406)*G406*H406-I406,2))</f>
        <v/>
      </c>
      <c r="M406" s="10">
        <f>IF(OR(L406="",N(J406)&lt;=0),"",L406/J406)</f>
        <v/>
      </c>
      <c r="N406" s="11">
        <f>IF(L406="","",IF(L406&gt;0,"Win",IF(L406&lt;0,"Loss","Flat")))</f>
        <v/>
      </c>
      <c r="O406" s="9">
        <f>IF(L406="","",SUM($L$2:L406))</f>
        <v/>
      </c>
      <c r="P406" s="9">
        <f>IF(L406="","",MAX(0,MAX($O$2:O406)))</f>
        <v/>
      </c>
      <c r="Q406" s="9">
        <f>IF(L406="","",P406-O406)</f>
        <v/>
      </c>
      <c r="S406">
        <f>IF(N406="Win",N(S405)+1,0)</f>
        <v/>
      </c>
      <c r="T406">
        <f>IF(N406="Loss",N(T405)+1,0)</f>
        <v/>
      </c>
    </row>
    <row r="407">
      <c r="A407" s="5" t="n"/>
      <c r="B407" s="6" t="n"/>
      <c r="C407" s="6" t="n"/>
      <c r="D407" s="6" t="n"/>
      <c r="E407" s="7" t="n"/>
      <c r="F407" s="7" t="n"/>
      <c r="G407" s="6" t="n"/>
      <c r="H407" s="6" t="n"/>
      <c r="I407" s="7" t="n"/>
      <c r="J407" s="8" t="n"/>
      <c r="K407" s="6" t="n"/>
      <c r="L407" s="9">
        <f>IF(OR(E407="",F407=""),"",ROUND(IF(D407="Short",E407-F407,F407-E407)*G407*H407-I407,2))</f>
        <v/>
      </c>
      <c r="M407" s="10">
        <f>IF(OR(L407="",N(J407)&lt;=0),"",L407/J407)</f>
        <v/>
      </c>
      <c r="N407" s="11">
        <f>IF(L407="","",IF(L407&gt;0,"Win",IF(L407&lt;0,"Loss","Flat")))</f>
        <v/>
      </c>
      <c r="O407" s="9">
        <f>IF(L407="","",SUM($L$2:L407))</f>
        <v/>
      </c>
      <c r="P407" s="9">
        <f>IF(L407="","",MAX(0,MAX($O$2:O407)))</f>
        <v/>
      </c>
      <c r="Q407" s="9">
        <f>IF(L407="","",P407-O407)</f>
        <v/>
      </c>
      <c r="S407">
        <f>IF(N407="Win",N(S406)+1,0)</f>
        <v/>
      </c>
      <c r="T407">
        <f>IF(N407="Loss",N(T406)+1,0)</f>
        <v/>
      </c>
    </row>
    <row r="408">
      <c r="A408" s="5" t="n"/>
      <c r="B408" s="6" t="n"/>
      <c r="C408" s="6" t="n"/>
      <c r="D408" s="6" t="n"/>
      <c r="E408" s="7" t="n"/>
      <c r="F408" s="7" t="n"/>
      <c r="G408" s="6" t="n"/>
      <c r="H408" s="6" t="n"/>
      <c r="I408" s="7" t="n"/>
      <c r="J408" s="8" t="n"/>
      <c r="K408" s="6" t="n"/>
      <c r="L408" s="9">
        <f>IF(OR(E408="",F408=""),"",ROUND(IF(D408="Short",E408-F408,F408-E408)*G408*H408-I408,2))</f>
        <v/>
      </c>
      <c r="M408" s="10">
        <f>IF(OR(L408="",N(J408)&lt;=0),"",L408/J408)</f>
        <v/>
      </c>
      <c r="N408" s="11">
        <f>IF(L408="","",IF(L408&gt;0,"Win",IF(L408&lt;0,"Loss","Flat")))</f>
        <v/>
      </c>
      <c r="O408" s="9">
        <f>IF(L408="","",SUM($L$2:L408))</f>
        <v/>
      </c>
      <c r="P408" s="9">
        <f>IF(L408="","",MAX(0,MAX($O$2:O408)))</f>
        <v/>
      </c>
      <c r="Q408" s="9">
        <f>IF(L408="","",P408-O408)</f>
        <v/>
      </c>
      <c r="S408">
        <f>IF(N408="Win",N(S407)+1,0)</f>
        <v/>
      </c>
      <c r="T408">
        <f>IF(N408="Loss",N(T407)+1,0)</f>
        <v/>
      </c>
    </row>
    <row r="409">
      <c r="A409" s="5" t="n"/>
      <c r="B409" s="6" t="n"/>
      <c r="C409" s="6" t="n"/>
      <c r="D409" s="6" t="n"/>
      <c r="E409" s="7" t="n"/>
      <c r="F409" s="7" t="n"/>
      <c r="G409" s="6" t="n"/>
      <c r="H409" s="6" t="n"/>
      <c r="I409" s="7" t="n"/>
      <c r="J409" s="8" t="n"/>
      <c r="K409" s="6" t="n"/>
      <c r="L409" s="9">
        <f>IF(OR(E409="",F409=""),"",ROUND(IF(D409="Short",E409-F409,F409-E409)*G409*H409-I409,2))</f>
        <v/>
      </c>
      <c r="M409" s="10">
        <f>IF(OR(L409="",N(J409)&lt;=0),"",L409/J409)</f>
        <v/>
      </c>
      <c r="N409" s="11">
        <f>IF(L409="","",IF(L409&gt;0,"Win",IF(L409&lt;0,"Loss","Flat")))</f>
        <v/>
      </c>
      <c r="O409" s="9">
        <f>IF(L409="","",SUM($L$2:L409))</f>
        <v/>
      </c>
      <c r="P409" s="9">
        <f>IF(L409="","",MAX(0,MAX($O$2:O409)))</f>
        <v/>
      </c>
      <c r="Q409" s="9">
        <f>IF(L409="","",P409-O409)</f>
        <v/>
      </c>
      <c r="S409">
        <f>IF(N409="Win",N(S408)+1,0)</f>
        <v/>
      </c>
      <c r="T409">
        <f>IF(N409="Loss",N(T408)+1,0)</f>
        <v/>
      </c>
    </row>
    <row r="410">
      <c r="A410" s="5" t="n"/>
      <c r="B410" s="6" t="n"/>
      <c r="C410" s="6" t="n"/>
      <c r="D410" s="6" t="n"/>
      <c r="E410" s="7" t="n"/>
      <c r="F410" s="7" t="n"/>
      <c r="G410" s="6" t="n"/>
      <c r="H410" s="6" t="n"/>
      <c r="I410" s="7" t="n"/>
      <c r="J410" s="8" t="n"/>
      <c r="K410" s="6" t="n"/>
      <c r="L410" s="9">
        <f>IF(OR(E410="",F410=""),"",ROUND(IF(D410="Short",E410-F410,F410-E410)*G410*H410-I410,2))</f>
        <v/>
      </c>
      <c r="M410" s="10">
        <f>IF(OR(L410="",N(J410)&lt;=0),"",L410/J410)</f>
        <v/>
      </c>
      <c r="N410" s="11">
        <f>IF(L410="","",IF(L410&gt;0,"Win",IF(L410&lt;0,"Loss","Flat")))</f>
        <v/>
      </c>
      <c r="O410" s="9">
        <f>IF(L410="","",SUM($L$2:L410))</f>
        <v/>
      </c>
      <c r="P410" s="9">
        <f>IF(L410="","",MAX(0,MAX($O$2:O410)))</f>
        <v/>
      </c>
      <c r="Q410" s="9">
        <f>IF(L410="","",P410-O410)</f>
        <v/>
      </c>
      <c r="S410">
        <f>IF(N410="Win",N(S409)+1,0)</f>
        <v/>
      </c>
      <c r="T410">
        <f>IF(N410="Loss",N(T409)+1,0)</f>
        <v/>
      </c>
    </row>
    <row r="411">
      <c r="A411" s="5" t="n"/>
      <c r="B411" s="6" t="n"/>
      <c r="C411" s="6" t="n"/>
      <c r="D411" s="6" t="n"/>
      <c r="E411" s="7" t="n"/>
      <c r="F411" s="7" t="n"/>
      <c r="G411" s="6" t="n"/>
      <c r="H411" s="6" t="n"/>
      <c r="I411" s="7" t="n"/>
      <c r="J411" s="8" t="n"/>
      <c r="K411" s="6" t="n"/>
      <c r="L411" s="9">
        <f>IF(OR(E411="",F411=""),"",ROUND(IF(D411="Short",E411-F411,F411-E411)*G411*H411-I411,2))</f>
        <v/>
      </c>
      <c r="M411" s="10">
        <f>IF(OR(L411="",N(J411)&lt;=0),"",L411/J411)</f>
        <v/>
      </c>
      <c r="N411" s="11">
        <f>IF(L411="","",IF(L411&gt;0,"Win",IF(L411&lt;0,"Loss","Flat")))</f>
        <v/>
      </c>
      <c r="O411" s="9">
        <f>IF(L411="","",SUM($L$2:L411))</f>
        <v/>
      </c>
      <c r="P411" s="9">
        <f>IF(L411="","",MAX(0,MAX($O$2:O411)))</f>
        <v/>
      </c>
      <c r="Q411" s="9">
        <f>IF(L411="","",P411-O411)</f>
        <v/>
      </c>
      <c r="S411">
        <f>IF(N411="Win",N(S410)+1,0)</f>
        <v/>
      </c>
      <c r="T411">
        <f>IF(N411="Loss",N(T410)+1,0)</f>
        <v/>
      </c>
    </row>
    <row r="412">
      <c r="A412" s="5" t="n"/>
      <c r="B412" s="6" t="n"/>
      <c r="C412" s="6" t="n"/>
      <c r="D412" s="6" t="n"/>
      <c r="E412" s="7" t="n"/>
      <c r="F412" s="7" t="n"/>
      <c r="G412" s="6" t="n"/>
      <c r="H412" s="6" t="n"/>
      <c r="I412" s="7" t="n"/>
      <c r="J412" s="8" t="n"/>
      <c r="K412" s="6" t="n"/>
      <c r="L412" s="9">
        <f>IF(OR(E412="",F412=""),"",ROUND(IF(D412="Short",E412-F412,F412-E412)*G412*H412-I412,2))</f>
        <v/>
      </c>
      <c r="M412" s="10">
        <f>IF(OR(L412="",N(J412)&lt;=0),"",L412/J412)</f>
        <v/>
      </c>
      <c r="N412" s="11">
        <f>IF(L412="","",IF(L412&gt;0,"Win",IF(L412&lt;0,"Loss","Flat")))</f>
        <v/>
      </c>
      <c r="O412" s="9">
        <f>IF(L412="","",SUM($L$2:L412))</f>
        <v/>
      </c>
      <c r="P412" s="9">
        <f>IF(L412="","",MAX(0,MAX($O$2:O412)))</f>
        <v/>
      </c>
      <c r="Q412" s="9">
        <f>IF(L412="","",P412-O412)</f>
        <v/>
      </c>
      <c r="S412">
        <f>IF(N412="Win",N(S411)+1,0)</f>
        <v/>
      </c>
      <c r="T412">
        <f>IF(N412="Loss",N(T411)+1,0)</f>
        <v/>
      </c>
    </row>
    <row r="413">
      <c r="A413" s="5" t="n"/>
      <c r="B413" s="6" t="n"/>
      <c r="C413" s="6" t="n"/>
      <c r="D413" s="6" t="n"/>
      <c r="E413" s="7" t="n"/>
      <c r="F413" s="7" t="n"/>
      <c r="G413" s="6" t="n"/>
      <c r="H413" s="6" t="n"/>
      <c r="I413" s="7" t="n"/>
      <c r="J413" s="8" t="n"/>
      <c r="K413" s="6" t="n"/>
      <c r="L413" s="9">
        <f>IF(OR(E413="",F413=""),"",ROUND(IF(D413="Short",E413-F413,F413-E413)*G413*H413-I413,2))</f>
        <v/>
      </c>
      <c r="M413" s="10">
        <f>IF(OR(L413="",N(J413)&lt;=0),"",L413/J413)</f>
        <v/>
      </c>
      <c r="N413" s="11">
        <f>IF(L413="","",IF(L413&gt;0,"Win",IF(L413&lt;0,"Loss","Flat")))</f>
        <v/>
      </c>
      <c r="O413" s="9">
        <f>IF(L413="","",SUM($L$2:L413))</f>
        <v/>
      </c>
      <c r="P413" s="9">
        <f>IF(L413="","",MAX(0,MAX($O$2:O413)))</f>
        <v/>
      </c>
      <c r="Q413" s="9">
        <f>IF(L413="","",P413-O413)</f>
        <v/>
      </c>
      <c r="S413">
        <f>IF(N413="Win",N(S412)+1,0)</f>
        <v/>
      </c>
      <c r="T413">
        <f>IF(N413="Loss",N(T412)+1,0)</f>
        <v/>
      </c>
    </row>
    <row r="414">
      <c r="A414" s="5" t="n"/>
      <c r="B414" s="6" t="n"/>
      <c r="C414" s="6" t="n"/>
      <c r="D414" s="6" t="n"/>
      <c r="E414" s="7" t="n"/>
      <c r="F414" s="7" t="n"/>
      <c r="G414" s="6" t="n"/>
      <c r="H414" s="6" t="n"/>
      <c r="I414" s="7" t="n"/>
      <c r="J414" s="8" t="n"/>
      <c r="K414" s="6" t="n"/>
      <c r="L414" s="9">
        <f>IF(OR(E414="",F414=""),"",ROUND(IF(D414="Short",E414-F414,F414-E414)*G414*H414-I414,2))</f>
        <v/>
      </c>
      <c r="M414" s="10">
        <f>IF(OR(L414="",N(J414)&lt;=0),"",L414/J414)</f>
        <v/>
      </c>
      <c r="N414" s="11">
        <f>IF(L414="","",IF(L414&gt;0,"Win",IF(L414&lt;0,"Loss","Flat")))</f>
        <v/>
      </c>
      <c r="O414" s="9">
        <f>IF(L414="","",SUM($L$2:L414))</f>
        <v/>
      </c>
      <c r="P414" s="9">
        <f>IF(L414="","",MAX(0,MAX($O$2:O414)))</f>
        <v/>
      </c>
      <c r="Q414" s="9">
        <f>IF(L414="","",P414-O414)</f>
        <v/>
      </c>
      <c r="S414">
        <f>IF(N414="Win",N(S413)+1,0)</f>
        <v/>
      </c>
      <c r="T414">
        <f>IF(N414="Loss",N(T413)+1,0)</f>
        <v/>
      </c>
    </row>
    <row r="415">
      <c r="A415" s="5" t="n"/>
      <c r="B415" s="6" t="n"/>
      <c r="C415" s="6" t="n"/>
      <c r="D415" s="6" t="n"/>
      <c r="E415" s="7" t="n"/>
      <c r="F415" s="7" t="n"/>
      <c r="G415" s="6" t="n"/>
      <c r="H415" s="6" t="n"/>
      <c r="I415" s="7" t="n"/>
      <c r="J415" s="8" t="n"/>
      <c r="K415" s="6" t="n"/>
      <c r="L415" s="9">
        <f>IF(OR(E415="",F415=""),"",ROUND(IF(D415="Short",E415-F415,F415-E415)*G415*H415-I415,2))</f>
        <v/>
      </c>
      <c r="M415" s="10">
        <f>IF(OR(L415="",N(J415)&lt;=0),"",L415/J415)</f>
        <v/>
      </c>
      <c r="N415" s="11">
        <f>IF(L415="","",IF(L415&gt;0,"Win",IF(L415&lt;0,"Loss","Flat")))</f>
        <v/>
      </c>
      <c r="O415" s="9">
        <f>IF(L415="","",SUM($L$2:L415))</f>
        <v/>
      </c>
      <c r="P415" s="9">
        <f>IF(L415="","",MAX(0,MAX($O$2:O415)))</f>
        <v/>
      </c>
      <c r="Q415" s="9">
        <f>IF(L415="","",P415-O415)</f>
        <v/>
      </c>
      <c r="S415">
        <f>IF(N415="Win",N(S414)+1,0)</f>
        <v/>
      </c>
      <c r="T415">
        <f>IF(N415="Loss",N(T414)+1,0)</f>
        <v/>
      </c>
    </row>
    <row r="416">
      <c r="A416" s="5" t="n"/>
      <c r="B416" s="6" t="n"/>
      <c r="C416" s="6" t="n"/>
      <c r="D416" s="6" t="n"/>
      <c r="E416" s="7" t="n"/>
      <c r="F416" s="7" t="n"/>
      <c r="G416" s="6" t="n"/>
      <c r="H416" s="6" t="n"/>
      <c r="I416" s="7" t="n"/>
      <c r="J416" s="8" t="n"/>
      <c r="K416" s="6" t="n"/>
      <c r="L416" s="9">
        <f>IF(OR(E416="",F416=""),"",ROUND(IF(D416="Short",E416-F416,F416-E416)*G416*H416-I416,2))</f>
        <v/>
      </c>
      <c r="M416" s="10">
        <f>IF(OR(L416="",N(J416)&lt;=0),"",L416/J416)</f>
        <v/>
      </c>
      <c r="N416" s="11">
        <f>IF(L416="","",IF(L416&gt;0,"Win",IF(L416&lt;0,"Loss","Flat")))</f>
        <v/>
      </c>
      <c r="O416" s="9">
        <f>IF(L416="","",SUM($L$2:L416))</f>
        <v/>
      </c>
      <c r="P416" s="9">
        <f>IF(L416="","",MAX(0,MAX($O$2:O416)))</f>
        <v/>
      </c>
      <c r="Q416" s="9">
        <f>IF(L416="","",P416-O416)</f>
        <v/>
      </c>
      <c r="S416">
        <f>IF(N416="Win",N(S415)+1,0)</f>
        <v/>
      </c>
      <c r="T416">
        <f>IF(N416="Loss",N(T415)+1,0)</f>
        <v/>
      </c>
    </row>
    <row r="417">
      <c r="A417" s="5" t="n"/>
      <c r="B417" s="6" t="n"/>
      <c r="C417" s="6" t="n"/>
      <c r="D417" s="6" t="n"/>
      <c r="E417" s="7" t="n"/>
      <c r="F417" s="7" t="n"/>
      <c r="G417" s="6" t="n"/>
      <c r="H417" s="6" t="n"/>
      <c r="I417" s="7" t="n"/>
      <c r="J417" s="8" t="n"/>
      <c r="K417" s="6" t="n"/>
      <c r="L417" s="9">
        <f>IF(OR(E417="",F417=""),"",ROUND(IF(D417="Short",E417-F417,F417-E417)*G417*H417-I417,2))</f>
        <v/>
      </c>
      <c r="M417" s="10">
        <f>IF(OR(L417="",N(J417)&lt;=0),"",L417/J417)</f>
        <v/>
      </c>
      <c r="N417" s="11">
        <f>IF(L417="","",IF(L417&gt;0,"Win",IF(L417&lt;0,"Loss","Flat")))</f>
        <v/>
      </c>
      <c r="O417" s="9">
        <f>IF(L417="","",SUM($L$2:L417))</f>
        <v/>
      </c>
      <c r="P417" s="9">
        <f>IF(L417="","",MAX(0,MAX($O$2:O417)))</f>
        <v/>
      </c>
      <c r="Q417" s="9">
        <f>IF(L417="","",P417-O417)</f>
        <v/>
      </c>
      <c r="S417">
        <f>IF(N417="Win",N(S416)+1,0)</f>
        <v/>
      </c>
      <c r="T417">
        <f>IF(N417="Loss",N(T416)+1,0)</f>
        <v/>
      </c>
    </row>
    <row r="418">
      <c r="A418" s="5" t="n"/>
      <c r="B418" s="6" t="n"/>
      <c r="C418" s="6" t="n"/>
      <c r="D418" s="6" t="n"/>
      <c r="E418" s="7" t="n"/>
      <c r="F418" s="7" t="n"/>
      <c r="G418" s="6" t="n"/>
      <c r="H418" s="6" t="n"/>
      <c r="I418" s="7" t="n"/>
      <c r="J418" s="8" t="n"/>
      <c r="K418" s="6" t="n"/>
      <c r="L418" s="9">
        <f>IF(OR(E418="",F418=""),"",ROUND(IF(D418="Short",E418-F418,F418-E418)*G418*H418-I418,2))</f>
        <v/>
      </c>
      <c r="M418" s="10">
        <f>IF(OR(L418="",N(J418)&lt;=0),"",L418/J418)</f>
        <v/>
      </c>
      <c r="N418" s="11">
        <f>IF(L418="","",IF(L418&gt;0,"Win",IF(L418&lt;0,"Loss","Flat")))</f>
        <v/>
      </c>
      <c r="O418" s="9">
        <f>IF(L418="","",SUM($L$2:L418))</f>
        <v/>
      </c>
      <c r="P418" s="9">
        <f>IF(L418="","",MAX(0,MAX($O$2:O418)))</f>
        <v/>
      </c>
      <c r="Q418" s="9">
        <f>IF(L418="","",P418-O418)</f>
        <v/>
      </c>
      <c r="S418">
        <f>IF(N418="Win",N(S417)+1,0)</f>
        <v/>
      </c>
      <c r="T418">
        <f>IF(N418="Loss",N(T417)+1,0)</f>
        <v/>
      </c>
    </row>
    <row r="419">
      <c r="A419" s="5" t="n"/>
      <c r="B419" s="6" t="n"/>
      <c r="C419" s="6" t="n"/>
      <c r="D419" s="6" t="n"/>
      <c r="E419" s="7" t="n"/>
      <c r="F419" s="7" t="n"/>
      <c r="G419" s="6" t="n"/>
      <c r="H419" s="6" t="n"/>
      <c r="I419" s="7" t="n"/>
      <c r="J419" s="8" t="n"/>
      <c r="K419" s="6" t="n"/>
      <c r="L419" s="9">
        <f>IF(OR(E419="",F419=""),"",ROUND(IF(D419="Short",E419-F419,F419-E419)*G419*H419-I419,2))</f>
        <v/>
      </c>
      <c r="M419" s="10">
        <f>IF(OR(L419="",N(J419)&lt;=0),"",L419/J419)</f>
        <v/>
      </c>
      <c r="N419" s="11">
        <f>IF(L419="","",IF(L419&gt;0,"Win",IF(L419&lt;0,"Loss","Flat")))</f>
        <v/>
      </c>
      <c r="O419" s="9">
        <f>IF(L419="","",SUM($L$2:L419))</f>
        <v/>
      </c>
      <c r="P419" s="9">
        <f>IF(L419="","",MAX(0,MAX($O$2:O419)))</f>
        <v/>
      </c>
      <c r="Q419" s="9">
        <f>IF(L419="","",P419-O419)</f>
        <v/>
      </c>
      <c r="S419">
        <f>IF(N419="Win",N(S418)+1,0)</f>
        <v/>
      </c>
      <c r="T419">
        <f>IF(N419="Loss",N(T418)+1,0)</f>
        <v/>
      </c>
    </row>
    <row r="420">
      <c r="A420" s="5" t="n"/>
      <c r="B420" s="6" t="n"/>
      <c r="C420" s="6" t="n"/>
      <c r="D420" s="6" t="n"/>
      <c r="E420" s="7" t="n"/>
      <c r="F420" s="7" t="n"/>
      <c r="G420" s="6" t="n"/>
      <c r="H420" s="6" t="n"/>
      <c r="I420" s="7" t="n"/>
      <c r="J420" s="8" t="n"/>
      <c r="K420" s="6" t="n"/>
      <c r="L420" s="9">
        <f>IF(OR(E420="",F420=""),"",ROUND(IF(D420="Short",E420-F420,F420-E420)*G420*H420-I420,2))</f>
        <v/>
      </c>
      <c r="M420" s="10">
        <f>IF(OR(L420="",N(J420)&lt;=0),"",L420/J420)</f>
        <v/>
      </c>
      <c r="N420" s="11">
        <f>IF(L420="","",IF(L420&gt;0,"Win",IF(L420&lt;0,"Loss","Flat")))</f>
        <v/>
      </c>
      <c r="O420" s="9">
        <f>IF(L420="","",SUM($L$2:L420))</f>
        <v/>
      </c>
      <c r="P420" s="9">
        <f>IF(L420="","",MAX(0,MAX($O$2:O420)))</f>
        <v/>
      </c>
      <c r="Q420" s="9">
        <f>IF(L420="","",P420-O420)</f>
        <v/>
      </c>
      <c r="S420">
        <f>IF(N420="Win",N(S419)+1,0)</f>
        <v/>
      </c>
      <c r="T420">
        <f>IF(N420="Loss",N(T419)+1,0)</f>
        <v/>
      </c>
    </row>
    <row r="421">
      <c r="A421" s="5" t="n"/>
      <c r="B421" s="6" t="n"/>
      <c r="C421" s="6" t="n"/>
      <c r="D421" s="6" t="n"/>
      <c r="E421" s="7" t="n"/>
      <c r="F421" s="7" t="n"/>
      <c r="G421" s="6" t="n"/>
      <c r="H421" s="6" t="n"/>
      <c r="I421" s="7" t="n"/>
      <c r="J421" s="8" t="n"/>
      <c r="K421" s="6" t="n"/>
      <c r="L421" s="9">
        <f>IF(OR(E421="",F421=""),"",ROUND(IF(D421="Short",E421-F421,F421-E421)*G421*H421-I421,2))</f>
        <v/>
      </c>
      <c r="M421" s="10">
        <f>IF(OR(L421="",N(J421)&lt;=0),"",L421/J421)</f>
        <v/>
      </c>
      <c r="N421" s="11">
        <f>IF(L421="","",IF(L421&gt;0,"Win",IF(L421&lt;0,"Loss","Flat")))</f>
        <v/>
      </c>
      <c r="O421" s="9">
        <f>IF(L421="","",SUM($L$2:L421))</f>
        <v/>
      </c>
      <c r="P421" s="9">
        <f>IF(L421="","",MAX(0,MAX($O$2:O421)))</f>
        <v/>
      </c>
      <c r="Q421" s="9">
        <f>IF(L421="","",P421-O421)</f>
        <v/>
      </c>
      <c r="S421">
        <f>IF(N421="Win",N(S420)+1,0)</f>
        <v/>
      </c>
      <c r="T421">
        <f>IF(N421="Loss",N(T420)+1,0)</f>
        <v/>
      </c>
    </row>
    <row r="422">
      <c r="A422" s="5" t="n"/>
      <c r="B422" s="6" t="n"/>
      <c r="C422" s="6" t="n"/>
      <c r="D422" s="6" t="n"/>
      <c r="E422" s="7" t="n"/>
      <c r="F422" s="7" t="n"/>
      <c r="G422" s="6" t="n"/>
      <c r="H422" s="6" t="n"/>
      <c r="I422" s="7" t="n"/>
      <c r="J422" s="8" t="n"/>
      <c r="K422" s="6" t="n"/>
      <c r="L422" s="9">
        <f>IF(OR(E422="",F422=""),"",ROUND(IF(D422="Short",E422-F422,F422-E422)*G422*H422-I422,2))</f>
        <v/>
      </c>
      <c r="M422" s="10">
        <f>IF(OR(L422="",N(J422)&lt;=0),"",L422/J422)</f>
        <v/>
      </c>
      <c r="N422" s="11">
        <f>IF(L422="","",IF(L422&gt;0,"Win",IF(L422&lt;0,"Loss","Flat")))</f>
        <v/>
      </c>
      <c r="O422" s="9">
        <f>IF(L422="","",SUM($L$2:L422))</f>
        <v/>
      </c>
      <c r="P422" s="9">
        <f>IF(L422="","",MAX(0,MAX($O$2:O422)))</f>
        <v/>
      </c>
      <c r="Q422" s="9">
        <f>IF(L422="","",P422-O422)</f>
        <v/>
      </c>
      <c r="S422">
        <f>IF(N422="Win",N(S421)+1,0)</f>
        <v/>
      </c>
      <c r="T422">
        <f>IF(N422="Loss",N(T421)+1,0)</f>
        <v/>
      </c>
    </row>
    <row r="423">
      <c r="A423" s="5" t="n"/>
      <c r="B423" s="6" t="n"/>
      <c r="C423" s="6" t="n"/>
      <c r="D423" s="6" t="n"/>
      <c r="E423" s="7" t="n"/>
      <c r="F423" s="7" t="n"/>
      <c r="G423" s="6" t="n"/>
      <c r="H423" s="6" t="n"/>
      <c r="I423" s="7" t="n"/>
      <c r="J423" s="8" t="n"/>
      <c r="K423" s="6" t="n"/>
      <c r="L423" s="9">
        <f>IF(OR(E423="",F423=""),"",ROUND(IF(D423="Short",E423-F423,F423-E423)*G423*H423-I423,2))</f>
        <v/>
      </c>
      <c r="M423" s="10">
        <f>IF(OR(L423="",N(J423)&lt;=0),"",L423/J423)</f>
        <v/>
      </c>
      <c r="N423" s="11">
        <f>IF(L423="","",IF(L423&gt;0,"Win",IF(L423&lt;0,"Loss","Flat")))</f>
        <v/>
      </c>
      <c r="O423" s="9">
        <f>IF(L423="","",SUM($L$2:L423))</f>
        <v/>
      </c>
      <c r="P423" s="9">
        <f>IF(L423="","",MAX(0,MAX($O$2:O423)))</f>
        <v/>
      </c>
      <c r="Q423" s="9">
        <f>IF(L423="","",P423-O423)</f>
        <v/>
      </c>
      <c r="S423">
        <f>IF(N423="Win",N(S422)+1,0)</f>
        <v/>
      </c>
      <c r="T423">
        <f>IF(N423="Loss",N(T422)+1,0)</f>
        <v/>
      </c>
    </row>
    <row r="424">
      <c r="A424" s="5" t="n"/>
      <c r="B424" s="6" t="n"/>
      <c r="C424" s="6" t="n"/>
      <c r="D424" s="6" t="n"/>
      <c r="E424" s="7" t="n"/>
      <c r="F424" s="7" t="n"/>
      <c r="G424" s="6" t="n"/>
      <c r="H424" s="6" t="n"/>
      <c r="I424" s="7" t="n"/>
      <c r="J424" s="8" t="n"/>
      <c r="K424" s="6" t="n"/>
      <c r="L424" s="9">
        <f>IF(OR(E424="",F424=""),"",ROUND(IF(D424="Short",E424-F424,F424-E424)*G424*H424-I424,2))</f>
        <v/>
      </c>
      <c r="M424" s="10">
        <f>IF(OR(L424="",N(J424)&lt;=0),"",L424/J424)</f>
        <v/>
      </c>
      <c r="N424" s="11">
        <f>IF(L424="","",IF(L424&gt;0,"Win",IF(L424&lt;0,"Loss","Flat")))</f>
        <v/>
      </c>
      <c r="O424" s="9">
        <f>IF(L424="","",SUM($L$2:L424))</f>
        <v/>
      </c>
      <c r="P424" s="9">
        <f>IF(L424="","",MAX(0,MAX($O$2:O424)))</f>
        <v/>
      </c>
      <c r="Q424" s="9">
        <f>IF(L424="","",P424-O424)</f>
        <v/>
      </c>
      <c r="S424">
        <f>IF(N424="Win",N(S423)+1,0)</f>
        <v/>
      </c>
      <c r="T424">
        <f>IF(N424="Loss",N(T423)+1,0)</f>
        <v/>
      </c>
    </row>
    <row r="425">
      <c r="A425" s="5" t="n"/>
      <c r="B425" s="6" t="n"/>
      <c r="C425" s="6" t="n"/>
      <c r="D425" s="6" t="n"/>
      <c r="E425" s="7" t="n"/>
      <c r="F425" s="7" t="n"/>
      <c r="G425" s="6" t="n"/>
      <c r="H425" s="6" t="n"/>
      <c r="I425" s="7" t="n"/>
      <c r="J425" s="8" t="n"/>
      <c r="K425" s="6" t="n"/>
      <c r="L425" s="9">
        <f>IF(OR(E425="",F425=""),"",ROUND(IF(D425="Short",E425-F425,F425-E425)*G425*H425-I425,2))</f>
        <v/>
      </c>
      <c r="M425" s="10">
        <f>IF(OR(L425="",N(J425)&lt;=0),"",L425/J425)</f>
        <v/>
      </c>
      <c r="N425" s="11">
        <f>IF(L425="","",IF(L425&gt;0,"Win",IF(L425&lt;0,"Loss","Flat")))</f>
        <v/>
      </c>
      <c r="O425" s="9">
        <f>IF(L425="","",SUM($L$2:L425))</f>
        <v/>
      </c>
      <c r="P425" s="9">
        <f>IF(L425="","",MAX(0,MAX($O$2:O425)))</f>
        <v/>
      </c>
      <c r="Q425" s="9">
        <f>IF(L425="","",P425-O425)</f>
        <v/>
      </c>
      <c r="S425">
        <f>IF(N425="Win",N(S424)+1,0)</f>
        <v/>
      </c>
      <c r="T425">
        <f>IF(N425="Loss",N(T424)+1,0)</f>
        <v/>
      </c>
    </row>
    <row r="426">
      <c r="A426" s="5" t="n"/>
      <c r="B426" s="6" t="n"/>
      <c r="C426" s="6" t="n"/>
      <c r="D426" s="6" t="n"/>
      <c r="E426" s="7" t="n"/>
      <c r="F426" s="7" t="n"/>
      <c r="G426" s="6" t="n"/>
      <c r="H426" s="6" t="n"/>
      <c r="I426" s="7" t="n"/>
      <c r="J426" s="8" t="n"/>
      <c r="K426" s="6" t="n"/>
      <c r="L426" s="9">
        <f>IF(OR(E426="",F426=""),"",ROUND(IF(D426="Short",E426-F426,F426-E426)*G426*H426-I426,2))</f>
        <v/>
      </c>
      <c r="M426" s="10">
        <f>IF(OR(L426="",N(J426)&lt;=0),"",L426/J426)</f>
        <v/>
      </c>
      <c r="N426" s="11">
        <f>IF(L426="","",IF(L426&gt;0,"Win",IF(L426&lt;0,"Loss","Flat")))</f>
        <v/>
      </c>
      <c r="O426" s="9">
        <f>IF(L426="","",SUM($L$2:L426))</f>
        <v/>
      </c>
      <c r="P426" s="9">
        <f>IF(L426="","",MAX(0,MAX($O$2:O426)))</f>
        <v/>
      </c>
      <c r="Q426" s="9">
        <f>IF(L426="","",P426-O426)</f>
        <v/>
      </c>
      <c r="S426">
        <f>IF(N426="Win",N(S425)+1,0)</f>
        <v/>
      </c>
      <c r="T426">
        <f>IF(N426="Loss",N(T425)+1,0)</f>
        <v/>
      </c>
    </row>
    <row r="427">
      <c r="A427" s="5" t="n"/>
      <c r="B427" s="6" t="n"/>
      <c r="C427" s="6" t="n"/>
      <c r="D427" s="6" t="n"/>
      <c r="E427" s="7" t="n"/>
      <c r="F427" s="7" t="n"/>
      <c r="G427" s="6" t="n"/>
      <c r="H427" s="6" t="n"/>
      <c r="I427" s="7" t="n"/>
      <c r="J427" s="8" t="n"/>
      <c r="K427" s="6" t="n"/>
      <c r="L427" s="9">
        <f>IF(OR(E427="",F427=""),"",ROUND(IF(D427="Short",E427-F427,F427-E427)*G427*H427-I427,2))</f>
        <v/>
      </c>
      <c r="M427" s="10">
        <f>IF(OR(L427="",N(J427)&lt;=0),"",L427/J427)</f>
        <v/>
      </c>
      <c r="N427" s="11">
        <f>IF(L427="","",IF(L427&gt;0,"Win",IF(L427&lt;0,"Loss","Flat")))</f>
        <v/>
      </c>
      <c r="O427" s="9">
        <f>IF(L427="","",SUM($L$2:L427))</f>
        <v/>
      </c>
      <c r="P427" s="9">
        <f>IF(L427="","",MAX(0,MAX($O$2:O427)))</f>
        <v/>
      </c>
      <c r="Q427" s="9">
        <f>IF(L427="","",P427-O427)</f>
        <v/>
      </c>
      <c r="S427">
        <f>IF(N427="Win",N(S426)+1,0)</f>
        <v/>
      </c>
      <c r="T427">
        <f>IF(N427="Loss",N(T426)+1,0)</f>
        <v/>
      </c>
    </row>
    <row r="428">
      <c r="A428" s="5" t="n"/>
      <c r="B428" s="6" t="n"/>
      <c r="C428" s="6" t="n"/>
      <c r="D428" s="6" t="n"/>
      <c r="E428" s="7" t="n"/>
      <c r="F428" s="7" t="n"/>
      <c r="G428" s="6" t="n"/>
      <c r="H428" s="6" t="n"/>
      <c r="I428" s="7" t="n"/>
      <c r="J428" s="8" t="n"/>
      <c r="K428" s="6" t="n"/>
      <c r="L428" s="9">
        <f>IF(OR(E428="",F428=""),"",ROUND(IF(D428="Short",E428-F428,F428-E428)*G428*H428-I428,2))</f>
        <v/>
      </c>
      <c r="M428" s="10">
        <f>IF(OR(L428="",N(J428)&lt;=0),"",L428/J428)</f>
        <v/>
      </c>
      <c r="N428" s="11">
        <f>IF(L428="","",IF(L428&gt;0,"Win",IF(L428&lt;0,"Loss","Flat")))</f>
        <v/>
      </c>
      <c r="O428" s="9">
        <f>IF(L428="","",SUM($L$2:L428))</f>
        <v/>
      </c>
      <c r="P428" s="9">
        <f>IF(L428="","",MAX(0,MAX($O$2:O428)))</f>
        <v/>
      </c>
      <c r="Q428" s="9">
        <f>IF(L428="","",P428-O428)</f>
        <v/>
      </c>
      <c r="S428">
        <f>IF(N428="Win",N(S427)+1,0)</f>
        <v/>
      </c>
      <c r="T428">
        <f>IF(N428="Loss",N(T427)+1,0)</f>
        <v/>
      </c>
    </row>
    <row r="429">
      <c r="A429" s="5" t="n"/>
      <c r="B429" s="6" t="n"/>
      <c r="C429" s="6" t="n"/>
      <c r="D429" s="6" t="n"/>
      <c r="E429" s="7" t="n"/>
      <c r="F429" s="7" t="n"/>
      <c r="G429" s="6" t="n"/>
      <c r="H429" s="6" t="n"/>
      <c r="I429" s="7" t="n"/>
      <c r="J429" s="8" t="n"/>
      <c r="K429" s="6" t="n"/>
      <c r="L429" s="9">
        <f>IF(OR(E429="",F429=""),"",ROUND(IF(D429="Short",E429-F429,F429-E429)*G429*H429-I429,2))</f>
        <v/>
      </c>
      <c r="M429" s="10">
        <f>IF(OR(L429="",N(J429)&lt;=0),"",L429/J429)</f>
        <v/>
      </c>
      <c r="N429" s="11">
        <f>IF(L429="","",IF(L429&gt;0,"Win",IF(L429&lt;0,"Loss","Flat")))</f>
        <v/>
      </c>
      <c r="O429" s="9">
        <f>IF(L429="","",SUM($L$2:L429))</f>
        <v/>
      </c>
      <c r="P429" s="9">
        <f>IF(L429="","",MAX(0,MAX($O$2:O429)))</f>
        <v/>
      </c>
      <c r="Q429" s="9">
        <f>IF(L429="","",P429-O429)</f>
        <v/>
      </c>
      <c r="S429">
        <f>IF(N429="Win",N(S428)+1,0)</f>
        <v/>
      </c>
      <c r="T429">
        <f>IF(N429="Loss",N(T428)+1,0)</f>
        <v/>
      </c>
    </row>
    <row r="430">
      <c r="A430" s="5" t="n"/>
      <c r="B430" s="6" t="n"/>
      <c r="C430" s="6" t="n"/>
      <c r="D430" s="6" t="n"/>
      <c r="E430" s="7" t="n"/>
      <c r="F430" s="7" t="n"/>
      <c r="G430" s="6" t="n"/>
      <c r="H430" s="6" t="n"/>
      <c r="I430" s="7" t="n"/>
      <c r="J430" s="8" t="n"/>
      <c r="K430" s="6" t="n"/>
      <c r="L430" s="9">
        <f>IF(OR(E430="",F430=""),"",ROUND(IF(D430="Short",E430-F430,F430-E430)*G430*H430-I430,2))</f>
        <v/>
      </c>
      <c r="M430" s="10">
        <f>IF(OR(L430="",N(J430)&lt;=0),"",L430/J430)</f>
        <v/>
      </c>
      <c r="N430" s="11">
        <f>IF(L430="","",IF(L430&gt;0,"Win",IF(L430&lt;0,"Loss","Flat")))</f>
        <v/>
      </c>
      <c r="O430" s="9">
        <f>IF(L430="","",SUM($L$2:L430))</f>
        <v/>
      </c>
      <c r="P430" s="9">
        <f>IF(L430="","",MAX(0,MAX($O$2:O430)))</f>
        <v/>
      </c>
      <c r="Q430" s="9">
        <f>IF(L430="","",P430-O430)</f>
        <v/>
      </c>
      <c r="S430">
        <f>IF(N430="Win",N(S429)+1,0)</f>
        <v/>
      </c>
      <c r="T430">
        <f>IF(N430="Loss",N(T429)+1,0)</f>
        <v/>
      </c>
    </row>
    <row r="431">
      <c r="A431" s="5" t="n"/>
      <c r="B431" s="6" t="n"/>
      <c r="C431" s="6" t="n"/>
      <c r="D431" s="6" t="n"/>
      <c r="E431" s="7" t="n"/>
      <c r="F431" s="7" t="n"/>
      <c r="G431" s="6" t="n"/>
      <c r="H431" s="6" t="n"/>
      <c r="I431" s="7" t="n"/>
      <c r="J431" s="8" t="n"/>
      <c r="K431" s="6" t="n"/>
      <c r="L431" s="9">
        <f>IF(OR(E431="",F431=""),"",ROUND(IF(D431="Short",E431-F431,F431-E431)*G431*H431-I431,2))</f>
        <v/>
      </c>
      <c r="M431" s="10">
        <f>IF(OR(L431="",N(J431)&lt;=0),"",L431/J431)</f>
        <v/>
      </c>
      <c r="N431" s="11">
        <f>IF(L431="","",IF(L431&gt;0,"Win",IF(L431&lt;0,"Loss","Flat")))</f>
        <v/>
      </c>
      <c r="O431" s="9">
        <f>IF(L431="","",SUM($L$2:L431))</f>
        <v/>
      </c>
      <c r="P431" s="9">
        <f>IF(L431="","",MAX(0,MAX($O$2:O431)))</f>
        <v/>
      </c>
      <c r="Q431" s="9">
        <f>IF(L431="","",P431-O431)</f>
        <v/>
      </c>
      <c r="S431">
        <f>IF(N431="Win",N(S430)+1,0)</f>
        <v/>
      </c>
      <c r="T431">
        <f>IF(N431="Loss",N(T430)+1,0)</f>
        <v/>
      </c>
    </row>
    <row r="432">
      <c r="A432" s="5" t="n"/>
      <c r="B432" s="6" t="n"/>
      <c r="C432" s="6" t="n"/>
      <c r="D432" s="6" t="n"/>
      <c r="E432" s="7" t="n"/>
      <c r="F432" s="7" t="n"/>
      <c r="G432" s="6" t="n"/>
      <c r="H432" s="6" t="n"/>
      <c r="I432" s="7" t="n"/>
      <c r="J432" s="8" t="n"/>
      <c r="K432" s="6" t="n"/>
      <c r="L432" s="9">
        <f>IF(OR(E432="",F432=""),"",ROUND(IF(D432="Short",E432-F432,F432-E432)*G432*H432-I432,2))</f>
        <v/>
      </c>
      <c r="M432" s="10">
        <f>IF(OR(L432="",N(J432)&lt;=0),"",L432/J432)</f>
        <v/>
      </c>
      <c r="N432" s="11">
        <f>IF(L432="","",IF(L432&gt;0,"Win",IF(L432&lt;0,"Loss","Flat")))</f>
        <v/>
      </c>
      <c r="O432" s="9">
        <f>IF(L432="","",SUM($L$2:L432))</f>
        <v/>
      </c>
      <c r="P432" s="9">
        <f>IF(L432="","",MAX(0,MAX($O$2:O432)))</f>
        <v/>
      </c>
      <c r="Q432" s="9">
        <f>IF(L432="","",P432-O432)</f>
        <v/>
      </c>
      <c r="S432">
        <f>IF(N432="Win",N(S431)+1,0)</f>
        <v/>
      </c>
      <c r="T432">
        <f>IF(N432="Loss",N(T431)+1,0)</f>
        <v/>
      </c>
    </row>
    <row r="433">
      <c r="A433" s="5" t="n"/>
      <c r="B433" s="6" t="n"/>
      <c r="C433" s="6" t="n"/>
      <c r="D433" s="6" t="n"/>
      <c r="E433" s="7" t="n"/>
      <c r="F433" s="7" t="n"/>
      <c r="G433" s="6" t="n"/>
      <c r="H433" s="6" t="n"/>
      <c r="I433" s="7" t="n"/>
      <c r="J433" s="8" t="n"/>
      <c r="K433" s="6" t="n"/>
      <c r="L433" s="9">
        <f>IF(OR(E433="",F433=""),"",ROUND(IF(D433="Short",E433-F433,F433-E433)*G433*H433-I433,2))</f>
        <v/>
      </c>
      <c r="M433" s="10">
        <f>IF(OR(L433="",N(J433)&lt;=0),"",L433/J433)</f>
        <v/>
      </c>
      <c r="N433" s="11">
        <f>IF(L433="","",IF(L433&gt;0,"Win",IF(L433&lt;0,"Loss","Flat")))</f>
        <v/>
      </c>
      <c r="O433" s="9">
        <f>IF(L433="","",SUM($L$2:L433))</f>
        <v/>
      </c>
      <c r="P433" s="9">
        <f>IF(L433="","",MAX(0,MAX($O$2:O433)))</f>
        <v/>
      </c>
      <c r="Q433" s="9">
        <f>IF(L433="","",P433-O433)</f>
        <v/>
      </c>
      <c r="S433">
        <f>IF(N433="Win",N(S432)+1,0)</f>
        <v/>
      </c>
      <c r="T433">
        <f>IF(N433="Loss",N(T432)+1,0)</f>
        <v/>
      </c>
    </row>
    <row r="434">
      <c r="A434" s="5" t="n"/>
      <c r="B434" s="6" t="n"/>
      <c r="C434" s="6" t="n"/>
      <c r="D434" s="6" t="n"/>
      <c r="E434" s="7" t="n"/>
      <c r="F434" s="7" t="n"/>
      <c r="G434" s="6" t="n"/>
      <c r="H434" s="6" t="n"/>
      <c r="I434" s="7" t="n"/>
      <c r="J434" s="8" t="n"/>
      <c r="K434" s="6" t="n"/>
      <c r="L434" s="9">
        <f>IF(OR(E434="",F434=""),"",ROUND(IF(D434="Short",E434-F434,F434-E434)*G434*H434-I434,2))</f>
        <v/>
      </c>
      <c r="M434" s="10">
        <f>IF(OR(L434="",N(J434)&lt;=0),"",L434/J434)</f>
        <v/>
      </c>
      <c r="N434" s="11">
        <f>IF(L434="","",IF(L434&gt;0,"Win",IF(L434&lt;0,"Loss","Flat")))</f>
        <v/>
      </c>
      <c r="O434" s="9">
        <f>IF(L434="","",SUM($L$2:L434))</f>
        <v/>
      </c>
      <c r="P434" s="9">
        <f>IF(L434="","",MAX(0,MAX($O$2:O434)))</f>
        <v/>
      </c>
      <c r="Q434" s="9">
        <f>IF(L434="","",P434-O434)</f>
        <v/>
      </c>
      <c r="S434">
        <f>IF(N434="Win",N(S433)+1,0)</f>
        <v/>
      </c>
      <c r="T434">
        <f>IF(N434="Loss",N(T433)+1,0)</f>
        <v/>
      </c>
    </row>
    <row r="435">
      <c r="A435" s="5" t="n"/>
      <c r="B435" s="6" t="n"/>
      <c r="C435" s="6" t="n"/>
      <c r="D435" s="6" t="n"/>
      <c r="E435" s="7" t="n"/>
      <c r="F435" s="7" t="n"/>
      <c r="G435" s="6" t="n"/>
      <c r="H435" s="6" t="n"/>
      <c r="I435" s="7" t="n"/>
      <c r="J435" s="8" t="n"/>
      <c r="K435" s="6" t="n"/>
      <c r="L435" s="9">
        <f>IF(OR(E435="",F435=""),"",ROUND(IF(D435="Short",E435-F435,F435-E435)*G435*H435-I435,2))</f>
        <v/>
      </c>
      <c r="M435" s="10">
        <f>IF(OR(L435="",N(J435)&lt;=0),"",L435/J435)</f>
        <v/>
      </c>
      <c r="N435" s="11">
        <f>IF(L435="","",IF(L435&gt;0,"Win",IF(L435&lt;0,"Loss","Flat")))</f>
        <v/>
      </c>
      <c r="O435" s="9">
        <f>IF(L435="","",SUM($L$2:L435))</f>
        <v/>
      </c>
      <c r="P435" s="9">
        <f>IF(L435="","",MAX(0,MAX($O$2:O435)))</f>
        <v/>
      </c>
      <c r="Q435" s="9">
        <f>IF(L435="","",P435-O435)</f>
        <v/>
      </c>
      <c r="S435">
        <f>IF(N435="Win",N(S434)+1,0)</f>
        <v/>
      </c>
      <c r="T435">
        <f>IF(N435="Loss",N(T434)+1,0)</f>
        <v/>
      </c>
    </row>
    <row r="436">
      <c r="A436" s="5" t="n"/>
      <c r="B436" s="6" t="n"/>
      <c r="C436" s="6" t="n"/>
      <c r="D436" s="6" t="n"/>
      <c r="E436" s="7" t="n"/>
      <c r="F436" s="7" t="n"/>
      <c r="G436" s="6" t="n"/>
      <c r="H436" s="6" t="n"/>
      <c r="I436" s="7" t="n"/>
      <c r="J436" s="8" t="n"/>
      <c r="K436" s="6" t="n"/>
      <c r="L436" s="9">
        <f>IF(OR(E436="",F436=""),"",ROUND(IF(D436="Short",E436-F436,F436-E436)*G436*H436-I436,2))</f>
        <v/>
      </c>
      <c r="M436" s="10">
        <f>IF(OR(L436="",N(J436)&lt;=0),"",L436/J436)</f>
        <v/>
      </c>
      <c r="N436" s="11">
        <f>IF(L436="","",IF(L436&gt;0,"Win",IF(L436&lt;0,"Loss","Flat")))</f>
        <v/>
      </c>
      <c r="O436" s="9">
        <f>IF(L436="","",SUM($L$2:L436))</f>
        <v/>
      </c>
      <c r="P436" s="9">
        <f>IF(L436="","",MAX(0,MAX($O$2:O436)))</f>
        <v/>
      </c>
      <c r="Q436" s="9">
        <f>IF(L436="","",P436-O436)</f>
        <v/>
      </c>
      <c r="S436">
        <f>IF(N436="Win",N(S435)+1,0)</f>
        <v/>
      </c>
      <c r="T436">
        <f>IF(N436="Loss",N(T435)+1,0)</f>
        <v/>
      </c>
    </row>
    <row r="437">
      <c r="A437" s="5" t="n"/>
      <c r="B437" s="6" t="n"/>
      <c r="C437" s="6" t="n"/>
      <c r="D437" s="6" t="n"/>
      <c r="E437" s="7" t="n"/>
      <c r="F437" s="7" t="n"/>
      <c r="G437" s="6" t="n"/>
      <c r="H437" s="6" t="n"/>
      <c r="I437" s="7" t="n"/>
      <c r="J437" s="8" t="n"/>
      <c r="K437" s="6" t="n"/>
      <c r="L437" s="9">
        <f>IF(OR(E437="",F437=""),"",ROUND(IF(D437="Short",E437-F437,F437-E437)*G437*H437-I437,2))</f>
        <v/>
      </c>
      <c r="M437" s="10">
        <f>IF(OR(L437="",N(J437)&lt;=0),"",L437/J437)</f>
        <v/>
      </c>
      <c r="N437" s="11">
        <f>IF(L437="","",IF(L437&gt;0,"Win",IF(L437&lt;0,"Loss","Flat")))</f>
        <v/>
      </c>
      <c r="O437" s="9">
        <f>IF(L437="","",SUM($L$2:L437))</f>
        <v/>
      </c>
      <c r="P437" s="9">
        <f>IF(L437="","",MAX(0,MAX($O$2:O437)))</f>
        <v/>
      </c>
      <c r="Q437" s="9">
        <f>IF(L437="","",P437-O437)</f>
        <v/>
      </c>
      <c r="S437">
        <f>IF(N437="Win",N(S436)+1,0)</f>
        <v/>
      </c>
      <c r="T437">
        <f>IF(N437="Loss",N(T436)+1,0)</f>
        <v/>
      </c>
    </row>
    <row r="438">
      <c r="A438" s="5" t="n"/>
      <c r="B438" s="6" t="n"/>
      <c r="C438" s="6" t="n"/>
      <c r="D438" s="6" t="n"/>
      <c r="E438" s="7" t="n"/>
      <c r="F438" s="7" t="n"/>
      <c r="G438" s="6" t="n"/>
      <c r="H438" s="6" t="n"/>
      <c r="I438" s="7" t="n"/>
      <c r="J438" s="8" t="n"/>
      <c r="K438" s="6" t="n"/>
      <c r="L438" s="9">
        <f>IF(OR(E438="",F438=""),"",ROUND(IF(D438="Short",E438-F438,F438-E438)*G438*H438-I438,2))</f>
        <v/>
      </c>
      <c r="M438" s="10">
        <f>IF(OR(L438="",N(J438)&lt;=0),"",L438/J438)</f>
        <v/>
      </c>
      <c r="N438" s="11">
        <f>IF(L438="","",IF(L438&gt;0,"Win",IF(L438&lt;0,"Loss","Flat")))</f>
        <v/>
      </c>
      <c r="O438" s="9">
        <f>IF(L438="","",SUM($L$2:L438))</f>
        <v/>
      </c>
      <c r="P438" s="9">
        <f>IF(L438="","",MAX(0,MAX($O$2:O438)))</f>
        <v/>
      </c>
      <c r="Q438" s="9">
        <f>IF(L438="","",P438-O438)</f>
        <v/>
      </c>
      <c r="S438">
        <f>IF(N438="Win",N(S437)+1,0)</f>
        <v/>
      </c>
      <c r="T438">
        <f>IF(N438="Loss",N(T437)+1,0)</f>
        <v/>
      </c>
    </row>
    <row r="439">
      <c r="A439" s="5" t="n"/>
      <c r="B439" s="6" t="n"/>
      <c r="C439" s="6" t="n"/>
      <c r="D439" s="6" t="n"/>
      <c r="E439" s="7" t="n"/>
      <c r="F439" s="7" t="n"/>
      <c r="G439" s="6" t="n"/>
      <c r="H439" s="6" t="n"/>
      <c r="I439" s="7" t="n"/>
      <c r="J439" s="8" t="n"/>
      <c r="K439" s="6" t="n"/>
      <c r="L439" s="9">
        <f>IF(OR(E439="",F439=""),"",ROUND(IF(D439="Short",E439-F439,F439-E439)*G439*H439-I439,2))</f>
        <v/>
      </c>
      <c r="M439" s="10">
        <f>IF(OR(L439="",N(J439)&lt;=0),"",L439/J439)</f>
        <v/>
      </c>
      <c r="N439" s="11">
        <f>IF(L439="","",IF(L439&gt;0,"Win",IF(L439&lt;0,"Loss","Flat")))</f>
        <v/>
      </c>
      <c r="O439" s="9">
        <f>IF(L439="","",SUM($L$2:L439))</f>
        <v/>
      </c>
      <c r="P439" s="9">
        <f>IF(L439="","",MAX(0,MAX($O$2:O439)))</f>
        <v/>
      </c>
      <c r="Q439" s="9">
        <f>IF(L439="","",P439-O439)</f>
        <v/>
      </c>
      <c r="S439">
        <f>IF(N439="Win",N(S438)+1,0)</f>
        <v/>
      </c>
      <c r="T439">
        <f>IF(N439="Loss",N(T438)+1,0)</f>
        <v/>
      </c>
    </row>
    <row r="440">
      <c r="A440" s="5" t="n"/>
      <c r="B440" s="6" t="n"/>
      <c r="C440" s="6" t="n"/>
      <c r="D440" s="6" t="n"/>
      <c r="E440" s="7" t="n"/>
      <c r="F440" s="7" t="n"/>
      <c r="G440" s="6" t="n"/>
      <c r="H440" s="6" t="n"/>
      <c r="I440" s="7" t="n"/>
      <c r="J440" s="8" t="n"/>
      <c r="K440" s="6" t="n"/>
      <c r="L440" s="9">
        <f>IF(OR(E440="",F440=""),"",ROUND(IF(D440="Short",E440-F440,F440-E440)*G440*H440-I440,2))</f>
        <v/>
      </c>
      <c r="M440" s="10">
        <f>IF(OR(L440="",N(J440)&lt;=0),"",L440/J440)</f>
        <v/>
      </c>
      <c r="N440" s="11">
        <f>IF(L440="","",IF(L440&gt;0,"Win",IF(L440&lt;0,"Loss","Flat")))</f>
        <v/>
      </c>
      <c r="O440" s="9">
        <f>IF(L440="","",SUM($L$2:L440))</f>
        <v/>
      </c>
      <c r="P440" s="9">
        <f>IF(L440="","",MAX(0,MAX($O$2:O440)))</f>
        <v/>
      </c>
      <c r="Q440" s="9">
        <f>IF(L440="","",P440-O440)</f>
        <v/>
      </c>
      <c r="S440">
        <f>IF(N440="Win",N(S439)+1,0)</f>
        <v/>
      </c>
      <c r="T440">
        <f>IF(N440="Loss",N(T439)+1,0)</f>
        <v/>
      </c>
    </row>
    <row r="441">
      <c r="A441" s="5" t="n"/>
      <c r="B441" s="6" t="n"/>
      <c r="C441" s="6" t="n"/>
      <c r="D441" s="6" t="n"/>
      <c r="E441" s="7" t="n"/>
      <c r="F441" s="7" t="n"/>
      <c r="G441" s="6" t="n"/>
      <c r="H441" s="6" t="n"/>
      <c r="I441" s="7" t="n"/>
      <c r="J441" s="8" t="n"/>
      <c r="K441" s="6" t="n"/>
      <c r="L441" s="9">
        <f>IF(OR(E441="",F441=""),"",ROUND(IF(D441="Short",E441-F441,F441-E441)*G441*H441-I441,2))</f>
        <v/>
      </c>
      <c r="M441" s="10">
        <f>IF(OR(L441="",N(J441)&lt;=0),"",L441/J441)</f>
        <v/>
      </c>
      <c r="N441" s="11">
        <f>IF(L441="","",IF(L441&gt;0,"Win",IF(L441&lt;0,"Loss","Flat")))</f>
        <v/>
      </c>
      <c r="O441" s="9">
        <f>IF(L441="","",SUM($L$2:L441))</f>
        <v/>
      </c>
      <c r="P441" s="9">
        <f>IF(L441="","",MAX(0,MAX($O$2:O441)))</f>
        <v/>
      </c>
      <c r="Q441" s="9">
        <f>IF(L441="","",P441-O441)</f>
        <v/>
      </c>
      <c r="S441">
        <f>IF(N441="Win",N(S440)+1,0)</f>
        <v/>
      </c>
      <c r="T441">
        <f>IF(N441="Loss",N(T440)+1,0)</f>
        <v/>
      </c>
    </row>
    <row r="442">
      <c r="A442" s="5" t="n"/>
      <c r="B442" s="6" t="n"/>
      <c r="C442" s="6" t="n"/>
      <c r="D442" s="6" t="n"/>
      <c r="E442" s="7" t="n"/>
      <c r="F442" s="7" t="n"/>
      <c r="G442" s="6" t="n"/>
      <c r="H442" s="6" t="n"/>
      <c r="I442" s="7" t="n"/>
      <c r="J442" s="8" t="n"/>
      <c r="K442" s="6" t="n"/>
      <c r="L442" s="9">
        <f>IF(OR(E442="",F442=""),"",ROUND(IF(D442="Short",E442-F442,F442-E442)*G442*H442-I442,2))</f>
        <v/>
      </c>
      <c r="M442" s="10">
        <f>IF(OR(L442="",N(J442)&lt;=0),"",L442/J442)</f>
        <v/>
      </c>
      <c r="N442" s="11">
        <f>IF(L442="","",IF(L442&gt;0,"Win",IF(L442&lt;0,"Loss","Flat")))</f>
        <v/>
      </c>
      <c r="O442" s="9">
        <f>IF(L442="","",SUM($L$2:L442))</f>
        <v/>
      </c>
      <c r="P442" s="9">
        <f>IF(L442="","",MAX(0,MAX($O$2:O442)))</f>
        <v/>
      </c>
      <c r="Q442" s="9">
        <f>IF(L442="","",P442-O442)</f>
        <v/>
      </c>
      <c r="S442">
        <f>IF(N442="Win",N(S441)+1,0)</f>
        <v/>
      </c>
      <c r="T442">
        <f>IF(N442="Loss",N(T441)+1,0)</f>
        <v/>
      </c>
    </row>
    <row r="443">
      <c r="A443" s="5" t="n"/>
      <c r="B443" s="6" t="n"/>
      <c r="C443" s="6" t="n"/>
      <c r="D443" s="6" t="n"/>
      <c r="E443" s="7" t="n"/>
      <c r="F443" s="7" t="n"/>
      <c r="G443" s="6" t="n"/>
      <c r="H443" s="6" t="n"/>
      <c r="I443" s="7" t="n"/>
      <c r="J443" s="8" t="n"/>
      <c r="K443" s="6" t="n"/>
      <c r="L443" s="9">
        <f>IF(OR(E443="",F443=""),"",ROUND(IF(D443="Short",E443-F443,F443-E443)*G443*H443-I443,2))</f>
        <v/>
      </c>
      <c r="M443" s="10">
        <f>IF(OR(L443="",N(J443)&lt;=0),"",L443/J443)</f>
        <v/>
      </c>
      <c r="N443" s="11">
        <f>IF(L443="","",IF(L443&gt;0,"Win",IF(L443&lt;0,"Loss","Flat")))</f>
        <v/>
      </c>
      <c r="O443" s="9">
        <f>IF(L443="","",SUM($L$2:L443))</f>
        <v/>
      </c>
      <c r="P443" s="9">
        <f>IF(L443="","",MAX(0,MAX($O$2:O443)))</f>
        <v/>
      </c>
      <c r="Q443" s="9">
        <f>IF(L443="","",P443-O443)</f>
        <v/>
      </c>
      <c r="S443">
        <f>IF(N443="Win",N(S442)+1,0)</f>
        <v/>
      </c>
      <c r="T443">
        <f>IF(N443="Loss",N(T442)+1,0)</f>
        <v/>
      </c>
    </row>
    <row r="444">
      <c r="A444" s="5" t="n"/>
      <c r="B444" s="6" t="n"/>
      <c r="C444" s="6" t="n"/>
      <c r="D444" s="6" t="n"/>
      <c r="E444" s="7" t="n"/>
      <c r="F444" s="7" t="n"/>
      <c r="G444" s="6" t="n"/>
      <c r="H444" s="6" t="n"/>
      <c r="I444" s="7" t="n"/>
      <c r="J444" s="8" t="n"/>
      <c r="K444" s="6" t="n"/>
      <c r="L444" s="9">
        <f>IF(OR(E444="",F444=""),"",ROUND(IF(D444="Short",E444-F444,F444-E444)*G444*H444-I444,2))</f>
        <v/>
      </c>
      <c r="M444" s="10">
        <f>IF(OR(L444="",N(J444)&lt;=0),"",L444/J444)</f>
        <v/>
      </c>
      <c r="N444" s="11">
        <f>IF(L444="","",IF(L444&gt;0,"Win",IF(L444&lt;0,"Loss","Flat")))</f>
        <v/>
      </c>
      <c r="O444" s="9">
        <f>IF(L444="","",SUM($L$2:L444))</f>
        <v/>
      </c>
      <c r="P444" s="9">
        <f>IF(L444="","",MAX(0,MAX($O$2:O444)))</f>
        <v/>
      </c>
      <c r="Q444" s="9">
        <f>IF(L444="","",P444-O444)</f>
        <v/>
      </c>
      <c r="S444">
        <f>IF(N444="Win",N(S443)+1,0)</f>
        <v/>
      </c>
      <c r="T444">
        <f>IF(N444="Loss",N(T443)+1,0)</f>
        <v/>
      </c>
    </row>
    <row r="445">
      <c r="A445" s="5" t="n"/>
      <c r="B445" s="6" t="n"/>
      <c r="C445" s="6" t="n"/>
      <c r="D445" s="6" t="n"/>
      <c r="E445" s="7" t="n"/>
      <c r="F445" s="7" t="n"/>
      <c r="G445" s="6" t="n"/>
      <c r="H445" s="6" t="n"/>
      <c r="I445" s="7" t="n"/>
      <c r="J445" s="8" t="n"/>
      <c r="K445" s="6" t="n"/>
      <c r="L445" s="9">
        <f>IF(OR(E445="",F445=""),"",ROUND(IF(D445="Short",E445-F445,F445-E445)*G445*H445-I445,2))</f>
        <v/>
      </c>
      <c r="M445" s="10">
        <f>IF(OR(L445="",N(J445)&lt;=0),"",L445/J445)</f>
        <v/>
      </c>
      <c r="N445" s="11">
        <f>IF(L445="","",IF(L445&gt;0,"Win",IF(L445&lt;0,"Loss","Flat")))</f>
        <v/>
      </c>
      <c r="O445" s="9">
        <f>IF(L445="","",SUM($L$2:L445))</f>
        <v/>
      </c>
      <c r="P445" s="9">
        <f>IF(L445="","",MAX(0,MAX($O$2:O445)))</f>
        <v/>
      </c>
      <c r="Q445" s="9">
        <f>IF(L445="","",P445-O445)</f>
        <v/>
      </c>
      <c r="S445">
        <f>IF(N445="Win",N(S444)+1,0)</f>
        <v/>
      </c>
      <c r="T445">
        <f>IF(N445="Loss",N(T444)+1,0)</f>
        <v/>
      </c>
    </row>
    <row r="446">
      <c r="A446" s="5" t="n"/>
      <c r="B446" s="6" t="n"/>
      <c r="C446" s="6" t="n"/>
      <c r="D446" s="6" t="n"/>
      <c r="E446" s="7" t="n"/>
      <c r="F446" s="7" t="n"/>
      <c r="G446" s="6" t="n"/>
      <c r="H446" s="6" t="n"/>
      <c r="I446" s="7" t="n"/>
      <c r="J446" s="8" t="n"/>
      <c r="K446" s="6" t="n"/>
      <c r="L446" s="9">
        <f>IF(OR(E446="",F446=""),"",ROUND(IF(D446="Short",E446-F446,F446-E446)*G446*H446-I446,2))</f>
        <v/>
      </c>
      <c r="M446" s="10">
        <f>IF(OR(L446="",N(J446)&lt;=0),"",L446/J446)</f>
        <v/>
      </c>
      <c r="N446" s="11">
        <f>IF(L446="","",IF(L446&gt;0,"Win",IF(L446&lt;0,"Loss","Flat")))</f>
        <v/>
      </c>
      <c r="O446" s="9">
        <f>IF(L446="","",SUM($L$2:L446))</f>
        <v/>
      </c>
      <c r="P446" s="9">
        <f>IF(L446="","",MAX(0,MAX($O$2:O446)))</f>
        <v/>
      </c>
      <c r="Q446" s="9">
        <f>IF(L446="","",P446-O446)</f>
        <v/>
      </c>
      <c r="S446">
        <f>IF(N446="Win",N(S445)+1,0)</f>
        <v/>
      </c>
      <c r="T446">
        <f>IF(N446="Loss",N(T445)+1,0)</f>
        <v/>
      </c>
    </row>
    <row r="447">
      <c r="A447" s="5" t="n"/>
      <c r="B447" s="6" t="n"/>
      <c r="C447" s="6" t="n"/>
      <c r="D447" s="6" t="n"/>
      <c r="E447" s="7" t="n"/>
      <c r="F447" s="7" t="n"/>
      <c r="G447" s="6" t="n"/>
      <c r="H447" s="6" t="n"/>
      <c r="I447" s="7" t="n"/>
      <c r="J447" s="8" t="n"/>
      <c r="K447" s="6" t="n"/>
      <c r="L447" s="9">
        <f>IF(OR(E447="",F447=""),"",ROUND(IF(D447="Short",E447-F447,F447-E447)*G447*H447-I447,2))</f>
        <v/>
      </c>
      <c r="M447" s="10">
        <f>IF(OR(L447="",N(J447)&lt;=0),"",L447/J447)</f>
        <v/>
      </c>
      <c r="N447" s="11">
        <f>IF(L447="","",IF(L447&gt;0,"Win",IF(L447&lt;0,"Loss","Flat")))</f>
        <v/>
      </c>
      <c r="O447" s="9">
        <f>IF(L447="","",SUM($L$2:L447))</f>
        <v/>
      </c>
      <c r="P447" s="9">
        <f>IF(L447="","",MAX(0,MAX($O$2:O447)))</f>
        <v/>
      </c>
      <c r="Q447" s="9">
        <f>IF(L447="","",P447-O447)</f>
        <v/>
      </c>
      <c r="S447">
        <f>IF(N447="Win",N(S446)+1,0)</f>
        <v/>
      </c>
      <c r="T447">
        <f>IF(N447="Loss",N(T446)+1,0)</f>
        <v/>
      </c>
    </row>
    <row r="448">
      <c r="A448" s="5" t="n"/>
      <c r="B448" s="6" t="n"/>
      <c r="C448" s="6" t="n"/>
      <c r="D448" s="6" t="n"/>
      <c r="E448" s="7" t="n"/>
      <c r="F448" s="7" t="n"/>
      <c r="G448" s="6" t="n"/>
      <c r="H448" s="6" t="n"/>
      <c r="I448" s="7" t="n"/>
      <c r="J448" s="8" t="n"/>
      <c r="K448" s="6" t="n"/>
      <c r="L448" s="9">
        <f>IF(OR(E448="",F448=""),"",ROUND(IF(D448="Short",E448-F448,F448-E448)*G448*H448-I448,2))</f>
        <v/>
      </c>
      <c r="M448" s="10">
        <f>IF(OR(L448="",N(J448)&lt;=0),"",L448/J448)</f>
        <v/>
      </c>
      <c r="N448" s="11">
        <f>IF(L448="","",IF(L448&gt;0,"Win",IF(L448&lt;0,"Loss","Flat")))</f>
        <v/>
      </c>
      <c r="O448" s="9">
        <f>IF(L448="","",SUM($L$2:L448))</f>
        <v/>
      </c>
      <c r="P448" s="9">
        <f>IF(L448="","",MAX(0,MAX($O$2:O448)))</f>
        <v/>
      </c>
      <c r="Q448" s="9">
        <f>IF(L448="","",P448-O448)</f>
        <v/>
      </c>
      <c r="S448">
        <f>IF(N448="Win",N(S447)+1,0)</f>
        <v/>
      </c>
      <c r="T448">
        <f>IF(N448="Loss",N(T447)+1,0)</f>
        <v/>
      </c>
    </row>
    <row r="449">
      <c r="A449" s="5" t="n"/>
      <c r="B449" s="6" t="n"/>
      <c r="C449" s="6" t="n"/>
      <c r="D449" s="6" t="n"/>
      <c r="E449" s="7" t="n"/>
      <c r="F449" s="7" t="n"/>
      <c r="G449" s="6" t="n"/>
      <c r="H449" s="6" t="n"/>
      <c r="I449" s="7" t="n"/>
      <c r="J449" s="8" t="n"/>
      <c r="K449" s="6" t="n"/>
      <c r="L449" s="9">
        <f>IF(OR(E449="",F449=""),"",ROUND(IF(D449="Short",E449-F449,F449-E449)*G449*H449-I449,2))</f>
        <v/>
      </c>
      <c r="M449" s="10">
        <f>IF(OR(L449="",N(J449)&lt;=0),"",L449/J449)</f>
        <v/>
      </c>
      <c r="N449" s="11">
        <f>IF(L449="","",IF(L449&gt;0,"Win",IF(L449&lt;0,"Loss","Flat")))</f>
        <v/>
      </c>
      <c r="O449" s="9">
        <f>IF(L449="","",SUM($L$2:L449))</f>
        <v/>
      </c>
      <c r="P449" s="9">
        <f>IF(L449="","",MAX(0,MAX($O$2:O449)))</f>
        <v/>
      </c>
      <c r="Q449" s="9">
        <f>IF(L449="","",P449-O449)</f>
        <v/>
      </c>
      <c r="S449">
        <f>IF(N449="Win",N(S448)+1,0)</f>
        <v/>
      </c>
      <c r="T449">
        <f>IF(N449="Loss",N(T448)+1,0)</f>
        <v/>
      </c>
    </row>
    <row r="450">
      <c r="A450" s="5" t="n"/>
      <c r="B450" s="6" t="n"/>
      <c r="C450" s="6" t="n"/>
      <c r="D450" s="6" t="n"/>
      <c r="E450" s="7" t="n"/>
      <c r="F450" s="7" t="n"/>
      <c r="G450" s="6" t="n"/>
      <c r="H450" s="6" t="n"/>
      <c r="I450" s="7" t="n"/>
      <c r="J450" s="8" t="n"/>
      <c r="K450" s="6" t="n"/>
      <c r="L450" s="9">
        <f>IF(OR(E450="",F450=""),"",ROUND(IF(D450="Short",E450-F450,F450-E450)*G450*H450-I450,2))</f>
        <v/>
      </c>
      <c r="M450" s="10">
        <f>IF(OR(L450="",N(J450)&lt;=0),"",L450/J450)</f>
        <v/>
      </c>
      <c r="N450" s="11">
        <f>IF(L450="","",IF(L450&gt;0,"Win",IF(L450&lt;0,"Loss","Flat")))</f>
        <v/>
      </c>
      <c r="O450" s="9">
        <f>IF(L450="","",SUM($L$2:L450))</f>
        <v/>
      </c>
      <c r="P450" s="9">
        <f>IF(L450="","",MAX(0,MAX($O$2:O450)))</f>
        <v/>
      </c>
      <c r="Q450" s="9">
        <f>IF(L450="","",P450-O450)</f>
        <v/>
      </c>
      <c r="S450">
        <f>IF(N450="Win",N(S449)+1,0)</f>
        <v/>
      </c>
      <c r="T450">
        <f>IF(N450="Loss",N(T449)+1,0)</f>
        <v/>
      </c>
    </row>
    <row r="451">
      <c r="A451" s="5" t="n"/>
      <c r="B451" s="6" t="n"/>
      <c r="C451" s="6" t="n"/>
      <c r="D451" s="6" t="n"/>
      <c r="E451" s="7" t="n"/>
      <c r="F451" s="7" t="n"/>
      <c r="G451" s="6" t="n"/>
      <c r="H451" s="6" t="n"/>
      <c r="I451" s="7" t="n"/>
      <c r="J451" s="8" t="n"/>
      <c r="K451" s="6" t="n"/>
      <c r="L451" s="9">
        <f>IF(OR(E451="",F451=""),"",ROUND(IF(D451="Short",E451-F451,F451-E451)*G451*H451-I451,2))</f>
        <v/>
      </c>
      <c r="M451" s="10">
        <f>IF(OR(L451="",N(J451)&lt;=0),"",L451/J451)</f>
        <v/>
      </c>
      <c r="N451" s="11">
        <f>IF(L451="","",IF(L451&gt;0,"Win",IF(L451&lt;0,"Loss","Flat")))</f>
        <v/>
      </c>
      <c r="O451" s="9">
        <f>IF(L451="","",SUM($L$2:L451))</f>
        <v/>
      </c>
      <c r="P451" s="9">
        <f>IF(L451="","",MAX(0,MAX($O$2:O451)))</f>
        <v/>
      </c>
      <c r="Q451" s="9">
        <f>IF(L451="","",P451-O451)</f>
        <v/>
      </c>
      <c r="S451">
        <f>IF(N451="Win",N(S450)+1,0)</f>
        <v/>
      </c>
      <c r="T451">
        <f>IF(N451="Loss",N(T450)+1,0)</f>
        <v/>
      </c>
    </row>
    <row r="452">
      <c r="A452" s="5" t="n"/>
      <c r="B452" s="6" t="n"/>
      <c r="C452" s="6" t="n"/>
      <c r="D452" s="6" t="n"/>
      <c r="E452" s="7" t="n"/>
      <c r="F452" s="7" t="n"/>
      <c r="G452" s="6" t="n"/>
      <c r="H452" s="6" t="n"/>
      <c r="I452" s="7" t="n"/>
      <c r="J452" s="8" t="n"/>
      <c r="K452" s="6" t="n"/>
      <c r="L452" s="9">
        <f>IF(OR(E452="",F452=""),"",ROUND(IF(D452="Short",E452-F452,F452-E452)*G452*H452-I452,2))</f>
        <v/>
      </c>
      <c r="M452" s="10">
        <f>IF(OR(L452="",N(J452)&lt;=0),"",L452/J452)</f>
        <v/>
      </c>
      <c r="N452" s="11">
        <f>IF(L452="","",IF(L452&gt;0,"Win",IF(L452&lt;0,"Loss","Flat")))</f>
        <v/>
      </c>
      <c r="O452" s="9">
        <f>IF(L452="","",SUM($L$2:L452))</f>
        <v/>
      </c>
      <c r="P452" s="9">
        <f>IF(L452="","",MAX(0,MAX($O$2:O452)))</f>
        <v/>
      </c>
      <c r="Q452" s="9">
        <f>IF(L452="","",P452-O452)</f>
        <v/>
      </c>
      <c r="S452">
        <f>IF(N452="Win",N(S451)+1,0)</f>
        <v/>
      </c>
      <c r="T452">
        <f>IF(N452="Loss",N(T451)+1,0)</f>
        <v/>
      </c>
    </row>
    <row r="453">
      <c r="A453" s="5" t="n"/>
      <c r="B453" s="6" t="n"/>
      <c r="C453" s="6" t="n"/>
      <c r="D453" s="6" t="n"/>
      <c r="E453" s="7" t="n"/>
      <c r="F453" s="7" t="n"/>
      <c r="G453" s="6" t="n"/>
      <c r="H453" s="6" t="n"/>
      <c r="I453" s="7" t="n"/>
      <c r="J453" s="8" t="n"/>
      <c r="K453" s="6" t="n"/>
      <c r="L453" s="9">
        <f>IF(OR(E453="",F453=""),"",ROUND(IF(D453="Short",E453-F453,F453-E453)*G453*H453-I453,2))</f>
        <v/>
      </c>
      <c r="M453" s="10">
        <f>IF(OR(L453="",N(J453)&lt;=0),"",L453/J453)</f>
        <v/>
      </c>
      <c r="N453" s="11">
        <f>IF(L453="","",IF(L453&gt;0,"Win",IF(L453&lt;0,"Loss","Flat")))</f>
        <v/>
      </c>
      <c r="O453" s="9">
        <f>IF(L453="","",SUM($L$2:L453))</f>
        <v/>
      </c>
      <c r="P453" s="9">
        <f>IF(L453="","",MAX(0,MAX($O$2:O453)))</f>
        <v/>
      </c>
      <c r="Q453" s="9">
        <f>IF(L453="","",P453-O453)</f>
        <v/>
      </c>
      <c r="S453">
        <f>IF(N453="Win",N(S452)+1,0)</f>
        <v/>
      </c>
      <c r="T453">
        <f>IF(N453="Loss",N(T452)+1,0)</f>
        <v/>
      </c>
    </row>
    <row r="454">
      <c r="A454" s="5" t="n"/>
      <c r="B454" s="6" t="n"/>
      <c r="C454" s="6" t="n"/>
      <c r="D454" s="6" t="n"/>
      <c r="E454" s="7" t="n"/>
      <c r="F454" s="7" t="n"/>
      <c r="G454" s="6" t="n"/>
      <c r="H454" s="6" t="n"/>
      <c r="I454" s="7" t="n"/>
      <c r="J454" s="8" t="n"/>
      <c r="K454" s="6" t="n"/>
      <c r="L454" s="9">
        <f>IF(OR(E454="",F454=""),"",ROUND(IF(D454="Short",E454-F454,F454-E454)*G454*H454-I454,2))</f>
        <v/>
      </c>
      <c r="M454" s="10">
        <f>IF(OR(L454="",N(J454)&lt;=0),"",L454/J454)</f>
        <v/>
      </c>
      <c r="N454" s="11">
        <f>IF(L454="","",IF(L454&gt;0,"Win",IF(L454&lt;0,"Loss","Flat")))</f>
        <v/>
      </c>
      <c r="O454" s="9">
        <f>IF(L454="","",SUM($L$2:L454))</f>
        <v/>
      </c>
      <c r="P454" s="9">
        <f>IF(L454="","",MAX(0,MAX($O$2:O454)))</f>
        <v/>
      </c>
      <c r="Q454" s="9">
        <f>IF(L454="","",P454-O454)</f>
        <v/>
      </c>
      <c r="S454">
        <f>IF(N454="Win",N(S453)+1,0)</f>
        <v/>
      </c>
      <c r="T454">
        <f>IF(N454="Loss",N(T453)+1,0)</f>
        <v/>
      </c>
    </row>
    <row r="455">
      <c r="A455" s="5" t="n"/>
      <c r="B455" s="6" t="n"/>
      <c r="C455" s="6" t="n"/>
      <c r="D455" s="6" t="n"/>
      <c r="E455" s="7" t="n"/>
      <c r="F455" s="7" t="n"/>
      <c r="G455" s="6" t="n"/>
      <c r="H455" s="6" t="n"/>
      <c r="I455" s="7" t="n"/>
      <c r="J455" s="8" t="n"/>
      <c r="K455" s="6" t="n"/>
      <c r="L455" s="9">
        <f>IF(OR(E455="",F455=""),"",ROUND(IF(D455="Short",E455-F455,F455-E455)*G455*H455-I455,2))</f>
        <v/>
      </c>
      <c r="M455" s="10">
        <f>IF(OR(L455="",N(J455)&lt;=0),"",L455/J455)</f>
        <v/>
      </c>
      <c r="N455" s="11">
        <f>IF(L455="","",IF(L455&gt;0,"Win",IF(L455&lt;0,"Loss","Flat")))</f>
        <v/>
      </c>
      <c r="O455" s="9">
        <f>IF(L455="","",SUM($L$2:L455))</f>
        <v/>
      </c>
      <c r="P455" s="9">
        <f>IF(L455="","",MAX(0,MAX($O$2:O455)))</f>
        <v/>
      </c>
      <c r="Q455" s="9">
        <f>IF(L455="","",P455-O455)</f>
        <v/>
      </c>
      <c r="S455">
        <f>IF(N455="Win",N(S454)+1,0)</f>
        <v/>
      </c>
      <c r="T455">
        <f>IF(N455="Loss",N(T454)+1,0)</f>
        <v/>
      </c>
    </row>
    <row r="456">
      <c r="A456" s="5" t="n"/>
      <c r="B456" s="6" t="n"/>
      <c r="C456" s="6" t="n"/>
      <c r="D456" s="6" t="n"/>
      <c r="E456" s="7" t="n"/>
      <c r="F456" s="7" t="n"/>
      <c r="G456" s="6" t="n"/>
      <c r="H456" s="6" t="n"/>
      <c r="I456" s="7" t="n"/>
      <c r="J456" s="8" t="n"/>
      <c r="K456" s="6" t="n"/>
      <c r="L456" s="9">
        <f>IF(OR(E456="",F456=""),"",ROUND(IF(D456="Short",E456-F456,F456-E456)*G456*H456-I456,2))</f>
        <v/>
      </c>
      <c r="M456" s="10">
        <f>IF(OR(L456="",N(J456)&lt;=0),"",L456/J456)</f>
        <v/>
      </c>
      <c r="N456" s="11">
        <f>IF(L456="","",IF(L456&gt;0,"Win",IF(L456&lt;0,"Loss","Flat")))</f>
        <v/>
      </c>
      <c r="O456" s="9">
        <f>IF(L456="","",SUM($L$2:L456))</f>
        <v/>
      </c>
      <c r="P456" s="9">
        <f>IF(L456="","",MAX(0,MAX($O$2:O456)))</f>
        <v/>
      </c>
      <c r="Q456" s="9">
        <f>IF(L456="","",P456-O456)</f>
        <v/>
      </c>
      <c r="S456">
        <f>IF(N456="Win",N(S455)+1,0)</f>
        <v/>
      </c>
      <c r="T456">
        <f>IF(N456="Loss",N(T455)+1,0)</f>
        <v/>
      </c>
    </row>
    <row r="457">
      <c r="A457" s="5" t="n"/>
      <c r="B457" s="6" t="n"/>
      <c r="C457" s="6" t="n"/>
      <c r="D457" s="6" t="n"/>
      <c r="E457" s="7" t="n"/>
      <c r="F457" s="7" t="n"/>
      <c r="G457" s="6" t="n"/>
      <c r="H457" s="6" t="n"/>
      <c r="I457" s="7" t="n"/>
      <c r="J457" s="8" t="n"/>
      <c r="K457" s="6" t="n"/>
      <c r="L457" s="9">
        <f>IF(OR(E457="",F457=""),"",ROUND(IF(D457="Short",E457-F457,F457-E457)*G457*H457-I457,2))</f>
        <v/>
      </c>
      <c r="M457" s="10">
        <f>IF(OR(L457="",N(J457)&lt;=0),"",L457/J457)</f>
        <v/>
      </c>
      <c r="N457" s="11">
        <f>IF(L457="","",IF(L457&gt;0,"Win",IF(L457&lt;0,"Loss","Flat")))</f>
        <v/>
      </c>
      <c r="O457" s="9">
        <f>IF(L457="","",SUM($L$2:L457))</f>
        <v/>
      </c>
      <c r="P457" s="9">
        <f>IF(L457="","",MAX(0,MAX($O$2:O457)))</f>
        <v/>
      </c>
      <c r="Q457" s="9">
        <f>IF(L457="","",P457-O457)</f>
        <v/>
      </c>
      <c r="S457">
        <f>IF(N457="Win",N(S456)+1,0)</f>
        <v/>
      </c>
      <c r="T457">
        <f>IF(N457="Loss",N(T456)+1,0)</f>
        <v/>
      </c>
    </row>
    <row r="458">
      <c r="A458" s="5" t="n"/>
      <c r="B458" s="6" t="n"/>
      <c r="C458" s="6" t="n"/>
      <c r="D458" s="6" t="n"/>
      <c r="E458" s="7" t="n"/>
      <c r="F458" s="7" t="n"/>
      <c r="G458" s="6" t="n"/>
      <c r="H458" s="6" t="n"/>
      <c r="I458" s="7" t="n"/>
      <c r="J458" s="8" t="n"/>
      <c r="K458" s="6" t="n"/>
      <c r="L458" s="9">
        <f>IF(OR(E458="",F458=""),"",ROUND(IF(D458="Short",E458-F458,F458-E458)*G458*H458-I458,2))</f>
        <v/>
      </c>
      <c r="M458" s="10">
        <f>IF(OR(L458="",N(J458)&lt;=0),"",L458/J458)</f>
        <v/>
      </c>
      <c r="N458" s="11">
        <f>IF(L458="","",IF(L458&gt;0,"Win",IF(L458&lt;0,"Loss","Flat")))</f>
        <v/>
      </c>
      <c r="O458" s="9">
        <f>IF(L458="","",SUM($L$2:L458))</f>
        <v/>
      </c>
      <c r="P458" s="9">
        <f>IF(L458="","",MAX(0,MAX($O$2:O458)))</f>
        <v/>
      </c>
      <c r="Q458" s="9">
        <f>IF(L458="","",P458-O458)</f>
        <v/>
      </c>
      <c r="S458">
        <f>IF(N458="Win",N(S457)+1,0)</f>
        <v/>
      </c>
      <c r="T458">
        <f>IF(N458="Loss",N(T457)+1,0)</f>
        <v/>
      </c>
    </row>
    <row r="459">
      <c r="A459" s="5" t="n"/>
      <c r="B459" s="6" t="n"/>
      <c r="C459" s="6" t="n"/>
      <c r="D459" s="6" t="n"/>
      <c r="E459" s="7" t="n"/>
      <c r="F459" s="7" t="n"/>
      <c r="G459" s="6" t="n"/>
      <c r="H459" s="6" t="n"/>
      <c r="I459" s="7" t="n"/>
      <c r="J459" s="8" t="n"/>
      <c r="K459" s="6" t="n"/>
      <c r="L459" s="9">
        <f>IF(OR(E459="",F459=""),"",ROUND(IF(D459="Short",E459-F459,F459-E459)*G459*H459-I459,2))</f>
        <v/>
      </c>
      <c r="M459" s="10">
        <f>IF(OR(L459="",N(J459)&lt;=0),"",L459/J459)</f>
        <v/>
      </c>
      <c r="N459" s="11">
        <f>IF(L459="","",IF(L459&gt;0,"Win",IF(L459&lt;0,"Loss","Flat")))</f>
        <v/>
      </c>
      <c r="O459" s="9">
        <f>IF(L459="","",SUM($L$2:L459))</f>
        <v/>
      </c>
      <c r="P459" s="9">
        <f>IF(L459="","",MAX(0,MAX($O$2:O459)))</f>
        <v/>
      </c>
      <c r="Q459" s="9">
        <f>IF(L459="","",P459-O459)</f>
        <v/>
      </c>
      <c r="S459">
        <f>IF(N459="Win",N(S458)+1,0)</f>
        <v/>
      </c>
      <c r="T459">
        <f>IF(N459="Loss",N(T458)+1,0)</f>
        <v/>
      </c>
    </row>
    <row r="460">
      <c r="A460" s="5" t="n"/>
      <c r="B460" s="6" t="n"/>
      <c r="C460" s="6" t="n"/>
      <c r="D460" s="6" t="n"/>
      <c r="E460" s="7" t="n"/>
      <c r="F460" s="7" t="n"/>
      <c r="G460" s="6" t="n"/>
      <c r="H460" s="6" t="n"/>
      <c r="I460" s="7" t="n"/>
      <c r="J460" s="8" t="n"/>
      <c r="K460" s="6" t="n"/>
      <c r="L460" s="9">
        <f>IF(OR(E460="",F460=""),"",ROUND(IF(D460="Short",E460-F460,F460-E460)*G460*H460-I460,2))</f>
        <v/>
      </c>
      <c r="M460" s="10">
        <f>IF(OR(L460="",N(J460)&lt;=0),"",L460/J460)</f>
        <v/>
      </c>
      <c r="N460" s="11">
        <f>IF(L460="","",IF(L460&gt;0,"Win",IF(L460&lt;0,"Loss","Flat")))</f>
        <v/>
      </c>
      <c r="O460" s="9">
        <f>IF(L460="","",SUM($L$2:L460))</f>
        <v/>
      </c>
      <c r="P460" s="9">
        <f>IF(L460="","",MAX(0,MAX($O$2:O460)))</f>
        <v/>
      </c>
      <c r="Q460" s="9">
        <f>IF(L460="","",P460-O460)</f>
        <v/>
      </c>
      <c r="S460">
        <f>IF(N460="Win",N(S459)+1,0)</f>
        <v/>
      </c>
      <c r="T460">
        <f>IF(N460="Loss",N(T459)+1,0)</f>
        <v/>
      </c>
    </row>
    <row r="461">
      <c r="A461" s="5" t="n"/>
      <c r="B461" s="6" t="n"/>
      <c r="C461" s="6" t="n"/>
      <c r="D461" s="6" t="n"/>
      <c r="E461" s="7" t="n"/>
      <c r="F461" s="7" t="n"/>
      <c r="G461" s="6" t="n"/>
      <c r="H461" s="6" t="n"/>
      <c r="I461" s="7" t="n"/>
      <c r="J461" s="8" t="n"/>
      <c r="K461" s="6" t="n"/>
      <c r="L461" s="9">
        <f>IF(OR(E461="",F461=""),"",ROUND(IF(D461="Short",E461-F461,F461-E461)*G461*H461-I461,2))</f>
        <v/>
      </c>
      <c r="M461" s="10">
        <f>IF(OR(L461="",N(J461)&lt;=0),"",L461/J461)</f>
        <v/>
      </c>
      <c r="N461" s="11">
        <f>IF(L461="","",IF(L461&gt;0,"Win",IF(L461&lt;0,"Loss","Flat")))</f>
        <v/>
      </c>
      <c r="O461" s="9">
        <f>IF(L461="","",SUM($L$2:L461))</f>
        <v/>
      </c>
      <c r="P461" s="9">
        <f>IF(L461="","",MAX(0,MAX($O$2:O461)))</f>
        <v/>
      </c>
      <c r="Q461" s="9">
        <f>IF(L461="","",P461-O461)</f>
        <v/>
      </c>
      <c r="S461">
        <f>IF(N461="Win",N(S460)+1,0)</f>
        <v/>
      </c>
      <c r="T461">
        <f>IF(N461="Loss",N(T460)+1,0)</f>
        <v/>
      </c>
    </row>
    <row r="462">
      <c r="A462" s="5" t="n"/>
      <c r="B462" s="6" t="n"/>
      <c r="C462" s="6" t="n"/>
      <c r="D462" s="6" t="n"/>
      <c r="E462" s="7" t="n"/>
      <c r="F462" s="7" t="n"/>
      <c r="G462" s="6" t="n"/>
      <c r="H462" s="6" t="n"/>
      <c r="I462" s="7" t="n"/>
      <c r="J462" s="8" t="n"/>
      <c r="K462" s="6" t="n"/>
      <c r="L462" s="9">
        <f>IF(OR(E462="",F462=""),"",ROUND(IF(D462="Short",E462-F462,F462-E462)*G462*H462-I462,2))</f>
        <v/>
      </c>
      <c r="M462" s="10">
        <f>IF(OR(L462="",N(J462)&lt;=0),"",L462/J462)</f>
        <v/>
      </c>
      <c r="N462" s="11">
        <f>IF(L462="","",IF(L462&gt;0,"Win",IF(L462&lt;0,"Loss","Flat")))</f>
        <v/>
      </c>
      <c r="O462" s="9">
        <f>IF(L462="","",SUM($L$2:L462))</f>
        <v/>
      </c>
      <c r="P462" s="9">
        <f>IF(L462="","",MAX(0,MAX($O$2:O462)))</f>
        <v/>
      </c>
      <c r="Q462" s="9">
        <f>IF(L462="","",P462-O462)</f>
        <v/>
      </c>
      <c r="S462">
        <f>IF(N462="Win",N(S461)+1,0)</f>
        <v/>
      </c>
      <c r="T462">
        <f>IF(N462="Loss",N(T461)+1,0)</f>
        <v/>
      </c>
    </row>
    <row r="463">
      <c r="A463" s="5" t="n"/>
      <c r="B463" s="6" t="n"/>
      <c r="C463" s="6" t="n"/>
      <c r="D463" s="6" t="n"/>
      <c r="E463" s="7" t="n"/>
      <c r="F463" s="7" t="n"/>
      <c r="G463" s="6" t="n"/>
      <c r="H463" s="6" t="n"/>
      <c r="I463" s="7" t="n"/>
      <c r="J463" s="8" t="n"/>
      <c r="K463" s="6" t="n"/>
      <c r="L463" s="9">
        <f>IF(OR(E463="",F463=""),"",ROUND(IF(D463="Short",E463-F463,F463-E463)*G463*H463-I463,2))</f>
        <v/>
      </c>
      <c r="M463" s="10">
        <f>IF(OR(L463="",N(J463)&lt;=0),"",L463/J463)</f>
        <v/>
      </c>
      <c r="N463" s="11">
        <f>IF(L463="","",IF(L463&gt;0,"Win",IF(L463&lt;0,"Loss","Flat")))</f>
        <v/>
      </c>
      <c r="O463" s="9">
        <f>IF(L463="","",SUM($L$2:L463))</f>
        <v/>
      </c>
      <c r="P463" s="9">
        <f>IF(L463="","",MAX(0,MAX($O$2:O463)))</f>
        <v/>
      </c>
      <c r="Q463" s="9">
        <f>IF(L463="","",P463-O463)</f>
        <v/>
      </c>
      <c r="S463">
        <f>IF(N463="Win",N(S462)+1,0)</f>
        <v/>
      </c>
      <c r="T463">
        <f>IF(N463="Loss",N(T462)+1,0)</f>
        <v/>
      </c>
    </row>
    <row r="464">
      <c r="A464" s="5" t="n"/>
      <c r="B464" s="6" t="n"/>
      <c r="C464" s="6" t="n"/>
      <c r="D464" s="6" t="n"/>
      <c r="E464" s="7" t="n"/>
      <c r="F464" s="7" t="n"/>
      <c r="G464" s="6" t="n"/>
      <c r="H464" s="6" t="n"/>
      <c r="I464" s="7" t="n"/>
      <c r="J464" s="8" t="n"/>
      <c r="K464" s="6" t="n"/>
      <c r="L464" s="9">
        <f>IF(OR(E464="",F464=""),"",ROUND(IF(D464="Short",E464-F464,F464-E464)*G464*H464-I464,2))</f>
        <v/>
      </c>
      <c r="M464" s="10">
        <f>IF(OR(L464="",N(J464)&lt;=0),"",L464/J464)</f>
        <v/>
      </c>
      <c r="N464" s="11">
        <f>IF(L464="","",IF(L464&gt;0,"Win",IF(L464&lt;0,"Loss","Flat")))</f>
        <v/>
      </c>
      <c r="O464" s="9">
        <f>IF(L464="","",SUM($L$2:L464))</f>
        <v/>
      </c>
      <c r="P464" s="9">
        <f>IF(L464="","",MAX(0,MAX($O$2:O464)))</f>
        <v/>
      </c>
      <c r="Q464" s="9">
        <f>IF(L464="","",P464-O464)</f>
        <v/>
      </c>
      <c r="S464">
        <f>IF(N464="Win",N(S463)+1,0)</f>
        <v/>
      </c>
      <c r="T464">
        <f>IF(N464="Loss",N(T463)+1,0)</f>
        <v/>
      </c>
    </row>
    <row r="465">
      <c r="A465" s="5" t="n"/>
      <c r="B465" s="6" t="n"/>
      <c r="C465" s="6" t="n"/>
      <c r="D465" s="6" t="n"/>
      <c r="E465" s="7" t="n"/>
      <c r="F465" s="7" t="n"/>
      <c r="G465" s="6" t="n"/>
      <c r="H465" s="6" t="n"/>
      <c r="I465" s="7" t="n"/>
      <c r="J465" s="8" t="n"/>
      <c r="K465" s="6" t="n"/>
      <c r="L465" s="9">
        <f>IF(OR(E465="",F465=""),"",ROUND(IF(D465="Short",E465-F465,F465-E465)*G465*H465-I465,2))</f>
        <v/>
      </c>
      <c r="M465" s="10">
        <f>IF(OR(L465="",N(J465)&lt;=0),"",L465/J465)</f>
        <v/>
      </c>
      <c r="N465" s="11">
        <f>IF(L465="","",IF(L465&gt;0,"Win",IF(L465&lt;0,"Loss","Flat")))</f>
        <v/>
      </c>
      <c r="O465" s="9">
        <f>IF(L465="","",SUM($L$2:L465))</f>
        <v/>
      </c>
      <c r="P465" s="9">
        <f>IF(L465="","",MAX(0,MAX($O$2:O465)))</f>
        <v/>
      </c>
      <c r="Q465" s="9">
        <f>IF(L465="","",P465-O465)</f>
        <v/>
      </c>
      <c r="S465">
        <f>IF(N465="Win",N(S464)+1,0)</f>
        <v/>
      </c>
      <c r="T465">
        <f>IF(N465="Loss",N(T464)+1,0)</f>
        <v/>
      </c>
    </row>
    <row r="466">
      <c r="A466" s="5" t="n"/>
      <c r="B466" s="6" t="n"/>
      <c r="C466" s="6" t="n"/>
      <c r="D466" s="6" t="n"/>
      <c r="E466" s="7" t="n"/>
      <c r="F466" s="7" t="n"/>
      <c r="G466" s="6" t="n"/>
      <c r="H466" s="6" t="n"/>
      <c r="I466" s="7" t="n"/>
      <c r="J466" s="8" t="n"/>
      <c r="K466" s="6" t="n"/>
      <c r="L466" s="9">
        <f>IF(OR(E466="",F466=""),"",ROUND(IF(D466="Short",E466-F466,F466-E466)*G466*H466-I466,2))</f>
        <v/>
      </c>
      <c r="M466" s="10">
        <f>IF(OR(L466="",N(J466)&lt;=0),"",L466/J466)</f>
        <v/>
      </c>
      <c r="N466" s="11">
        <f>IF(L466="","",IF(L466&gt;0,"Win",IF(L466&lt;0,"Loss","Flat")))</f>
        <v/>
      </c>
      <c r="O466" s="9">
        <f>IF(L466="","",SUM($L$2:L466))</f>
        <v/>
      </c>
      <c r="P466" s="9">
        <f>IF(L466="","",MAX(0,MAX($O$2:O466)))</f>
        <v/>
      </c>
      <c r="Q466" s="9">
        <f>IF(L466="","",P466-O466)</f>
        <v/>
      </c>
      <c r="S466">
        <f>IF(N466="Win",N(S465)+1,0)</f>
        <v/>
      </c>
      <c r="T466">
        <f>IF(N466="Loss",N(T465)+1,0)</f>
        <v/>
      </c>
    </row>
    <row r="467">
      <c r="A467" s="5" t="n"/>
      <c r="B467" s="6" t="n"/>
      <c r="C467" s="6" t="n"/>
      <c r="D467" s="6" t="n"/>
      <c r="E467" s="7" t="n"/>
      <c r="F467" s="7" t="n"/>
      <c r="G467" s="6" t="n"/>
      <c r="H467" s="6" t="n"/>
      <c r="I467" s="7" t="n"/>
      <c r="J467" s="8" t="n"/>
      <c r="K467" s="6" t="n"/>
      <c r="L467" s="9">
        <f>IF(OR(E467="",F467=""),"",ROUND(IF(D467="Short",E467-F467,F467-E467)*G467*H467-I467,2))</f>
        <v/>
      </c>
      <c r="M467" s="10">
        <f>IF(OR(L467="",N(J467)&lt;=0),"",L467/J467)</f>
        <v/>
      </c>
      <c r="N467" s="11">
        <f>IF(L467="","",IF(L467&gt;0,"Win",IF(L467&lt;0,"Loss","Flat")))</f>
        <v/>
      </c>
      <c r="O467" s="9">
        <f>IF(L467="","",SUM($L$2:L467))</f>
        <v/>
      </c>
      <c r="P467" s="9">
        <f>IF(L467="","",MAX(0,MAX($O$2:O467)))</f>
        <v/>
      </c>
      <c r="Q467" s="9">
        <f>IF(L467="","",P467-O467)</f>
        <v/>
      </c>
      <c r="S467">
        <f>IF(N467="Win",N(S466)+1,0)</f>
        <v/>
      </c>
      <c r="T467">
        <f>IF(N467="Loss",N(T466)+1,0)</f>
        <v/>
      </c>
    </row>
    <row r="468">
      <c r="A468" s="5" t="n"/>
      <c r="B468" s="6" t="n"/>
      <c r="C468" s="6" t="n"/>
      <c r="D468" s="6" t="n"/>
      <c r="E468" s="7" t="n"/>
      <c r="F468" s="7" t="n"/>
      <c r="G468" s="6" t="n"/>
      <c r="H468" s="6" t="n"/>
      <c r="I468" s="7" t="n"/>
      <c r="J468" s="8" t="n"/>
      <c r="K468" s="6" t="n"/>
      <c r="L468" s="9">
        <f>IF(OR(E468="",F468=""),"",ROUND(IF(D468="Short",E468-F468,F468-E468)*G468*H468-I468,2))</f>
        <v/>
      </c>
      <c r="M468" s="10">
        <f>IF(OR(L468="",N(J468)&lt;=0),"",L468/J468)</f>
        <v/>
      </c>
      <c r="N468" s="11">
        <f>IF(L468="","",IF(L468&gt;0,"Win",IF(L468&lt;0,"Loss","Flat")))</f>
        <v/>
      </c>
      <c r="O468" s="9">
        <f>IF(L468="","",SUM($L$2:L468))</f>
        <v/>
      </c>
      <c r="P468" s="9">
        <f>IF(L468="","",MAX(0,MAX($O$2:O468)))</f>
        <v/>
      </c>
      <c r="Q468" s="9">
        <f>IF(L468="","",P468-O468)</f>
        <v/>
      </c>
      <c r="S468">
        <f>IF(N468="Win",N(S467)+1,0)</f>
        <v/>
      </c>
      <c r="T468">
        <f>IF(N468="Loss",N(T467)+1,0)</f>
        <v/>
      </c>
    </row>
    <row r="469">
      <c r="A469" s="5" t="n"/>
      <c r="B469" s="6" t="n"/>
      <c r="C469" s="6" t="n"/>
      <c r="D469" s="6" t="n"/>
      <c r="E469" s="7" t="n"/>
      <c r="F469" s="7" t="n"/>
      <c r="G469" s="6" t="n"/>
      <c r="H469" s="6" t="n"/>
      <c r="I469" s="7" t="n"/>
      <c r="J469" s="8" t="n"/>
      <c r="K469" s="6" t="n"/>
      <c r="L469" s="9">
        <f>IF(OR(E469="",F469=""),"",ROUND(IF(D469="Short",E469-F469,F469-E469)*G469*H469-I469,2))</f>
        <v/>
      </c>
      <c r="M469" s="10">
        <f>IF(OR(L469="",N(J469)&lt;=0),"",L469/J469)</f>
        <v/>
      </c>
      <c r="N469" s="11">
        <f>IF(L469="","",IF(L469&gt;0,"Win",IF(L469&lt;0,"Loss","Flat")))</f>
        <v/>
      </c>
      <c r="O469" s="9">
        <f>IF(L469="","",SUM($L$2:L469))</f>
        <v/>
      </c>
      <c r="P469" s="9">
        <f>IF(L469="","",MAX(0,MAX($O$2:O469)))</f>
        <v/>
      </c>
      <c r="Q469" s="9">
        <f>IF(L469="","",P469-O469)</f>
        <v/>
      </c>
      <c r="S469">
        <f>IF(N469="Win",N(S468)+1,0)</f>
        <v/>
      </c>
      <c r="T469">
        <f>IF(N469="Loss",N(T468)+1,0)</f>
        <v/>
      </c>
    </row>
    <row r="470">
      <c r="A470" s="5" t="n"/>
      <c r="B470" s="6" t="n"/>
      <c r="C470" s="6" t="n"/>
      <c r="D470" s="6" t="n"/>
      <c r="E470" s="7" t="n"/>
      <c r="F470" s="7" t="n"/>
      <c r="G470" s="6" t="n"/>
      <c r="H470" s="6" t="n"/>
      <c r="I470" s="7" t="n"/>
      <c r="J470" s="8" t="n"/>
      <c r="K470" s="6" t="n"/>
      <c r="L470" s="9">
        <f>IF(OR(E470="",F470=""),"",ROUND(IF(D470="Short",E470-F470,F470-E470)*G470*H470-I470,2))</f>
        <v/>
      </c>
      <c r="M470" s="10">
        <f>IF(OR(L470="",N(J470)&lt;=0),"",L470/J470)</f>
        <v/>
      </c>
      <c r="N470" s="11">
        <f>IF(L470="","",IF(L470&gt;0,"Win",IF(L470&lt;0,"Loss","Flat")))</f>
        <v/>
      </c>
      <c r="O470" s="9">
        <f>IF(L470="","",SUM($L$2:L470))</f>
        <v/>
      </c>
      <c r="P470" s="9">
        <f>IF(L470="","",MAX(0,MAX($O$2:O470)))</f>
        <v/>
      </c>
      <c r="Q470" s="9">
        <f>IF(L470="","",P470-O470)</f>
        <v/>
      </c>
      <c r="S470">
        <f>IF(N470="Win",N(S469)+1,0)</f>
        <v/>
      </c>
      <c r="T470">
        <f>IF(N470="Loss",N(T469)+1,0)</f>
        <v/>
      </c>
    </row>
    <row r="471">
      <c r="A471" s="5" t="n"/>
      <c r="B471" s="6" t="n"/>
      <c r="C471" s="6" t="n"/>
      <c r="D471" s="6" t="n"/>
      <c r="E471" s="7" t="n"/>
      <c r="F471" s="7" t="n"/>
      <c r="G471" s="6" t="n"/>
      <c r="H471" s="6" t="n"/>
      <c r="I471" s="7" t="n"/>
      <c r="J471" s="8" t="n"/>
      <c r="K471" s="6" t="n"/>
      <c r="L471" s="9">
        <f>IF(OR(E471="",F471=""),"",ROUND(IF(D471="Short",E471-F471,F471-E471)*G471*H471-I471,2))</f>
        <v/>
      </c>
      <c r="M471" s="10">
        <f>IF(OR(L471="",N(J471)&lt;=0),"",L471/J471)</f>
        <v/>
      </c>
      <c r="N471" s="11">
        <f>IF(L471="","",IF(L471&gt;0,"Win",IF(L471&lt;0,"Loss","Flat")))</f>
        <v/>
      </c>
      <c r="O471" s="9">
        <f>IF(L471="","",SUM($L$2:L471))</f>
        <v/>
      </c>
      <c r="P471" s="9">
        <f>IF(L471="","",MAX(0,MAX($O$2:O471)))</f>
        <v/>
      </c>
      <c r="Q471" s="9">
        <f>IF(L471="","",P471-O471)</f>
        <v/>
      </c>
      <c r="S471">
        <f>IF(N471="Win",N(S470)+1,0)</f>
        <v/>
      </c>
      <c r="T471">
        <f>IF(N471="Loss",N(T470)+1,0)</f>
        <v/>
      </c>
    </row>
    <row r="472">
      <c r="A472" s="5" t="n"/>
      <c r="B472" s="6" t="n"/>
      <c r="C472" s="6" t="n"/>
      <c r="D472" s="6" t="n"/>
      <c r="E472" s="7" t="n"/>
      <c r="F472" s="7" t="n"/>
      <c r="G472" s="6" t="n"/>
      <c r="H472" s="6" t="n"/>
      <c r="I472" s="7" t="n"/>
      <c r="J472" s="8" t="n"/>
      <c r="K472" s="6" t="n"/>
      <c r="L472" s="9">
        <f>IF(OR(E472="",F472=""),"",ROUND(IF(D472="Short",E472-F472,F472-E472)*G472*H472-I472,2))</f>
        <v/>
      </c>
      <c r="M472" s="10">
        <f>IF(OR(L472="",N(J472)&lt;=0),"",L472/J472)</f>
        <v/>
      </c>
      <c r="N472" s="11">
        <f>IF(L472="","",IF(L472&gt;0,"Win",IF(L472&lt;0,"Loss","Flat")))</f>
        <v/>
      </c>
      <c r="O472" s="9">
        <f>IF(L472="","",SUM($L$2:L472))</f>
        <v/>
      </c>
      <c r="P472" s="9">
        <f>IF(L472="","",MAX(0,MAX($O$2:O472)))</f>
        <v/>
      </c>
      <c r="Q472" s="9">
        <f>IF(L472="","",P472-O472)</f>
        <v/>
      </c>
      <c r="S472">
        <f>IF(N472="Win",N(S471)+1,0)</f>
        <v/>
      </c>
      <c r="T472">
        <f>IF(N472="Loss",N(T471)+1,0)</f>
        <v/>
      </c>
    </row>
    <row r="473">
      <c r="A473" s="5" t="n"/>
      <c r="B473" s="6" t="n"/>
      <c r="C473" s="6" t="n"/>
      <c r="D473" s="6" t="n"/>
      <c r="E473" s="7" t="n"/>
      <c r="F473" s="7" t="n"/>
      <c r="G473" s="6" t="n"/>
      <c r="H473" s="6" t="n"/>
      <c r="I473" s="7" t="n"/>
      <c r="J473" s="8" t="n"/>
      <c r="K473" s="6" t="n"/>
      <c r="L473" s="9">
        <f>IF(OR(E473="",F473=""),"",ROUND(IF(D473="Short",E473-F473,F473-E473)*G473*H473-I473,2))</f>
        <v/>
      </c>
      <c r="M473" s="10">
        <f>IF(OR(L473="",N(J473)&lt;=0),"",L473/J473)</f>
        <v/>
      </c>
      <c r="N473" s="11">
        <f>IF(L473="","",IF(L473&gt;0,"Win",IF(L473&lt;0,"Loss","Flat")))</f>
        <v/>
      </c>
      <c r="O473" s="9">
        <f>IF(L473="","",SUM($L$2:L473))</f>
        <v/>
      </c>
      <c r="P473" s="9">
        <f>IF(L473="","",MAX(0,MAX($O$2:O473)))</f>
        <v/>
      </c>
      <c r="Q473" s="9">
        <f>IF(L473="","",P473-O473)</f>
        <v/>
      </c>
      <c r="S473">
        <f>IF(N473="Win",N(S472)+1,0)</f>
        <v/>
      </c>
      <c r="T473">
        <f>IF(N473="Loss",N(T472)+1,0)</f>
        <v/>
      </c>
    </row>
    <row r="474">
      <c r="A474" s="5" t="n"/>
      <c r="B474" s="6" t="n"/>
      <c r="C474" s="6" t="n"/>
      <c r="D474" s="6" t="n"/>
      <c r="E474" s="7" t="n"/>
      <c r="F474" s="7" t="n"/>
      <c r="G474" s="6" t="n"/>
      <c r="H474" s="6" t="n"/>
      <c r="I474" s="7" t="n"/>
      <c r="J474" s="8" t="n"/>
      <c r="K474" s="6" t="n"/>
      <c r="L474" s="9">
        <f>IF(OR(E474="",F474=""),"",ROUND(IF(D474="Short",E474-F474,F474-E474)*G474*H474-I474,2))</f>
        <v/>
      </c>
      <c r="M474" s="10">
        <f>IF(OR(L474="",N(J474)&lt;=0),"",L474/J474)</f>
        <v/>
      </c>
      <c r="N474" s="11">
        <f>IF(L474="","",IF(L474&gt;0,"Win",IF(L474&lt;0,"Loss","Flat")))</f>
        <v/>
      </c>
      <c r="O474" s="9">
        <f>IF(L474="","",SUM($L$2:L474))</f>
        <v/>
      </c>
      <c r="P474" s="9">
        <f>IF(L474="","",MAX(0,MAX($O$2:O474)))</f>
        <v/>
      </c>
      <c r="Q474" s="9">
        <f>IF(L474="","",P474-O474)</f>
        <v/>
      </c>
      <c r="S474">
        <f>IF(N474="Win",N(S473)+1,0)</f>
        <v/>
      </c>
      <c r="T474">
        <f>IF(N474="Loss",N(T473)+1,0)</f>
        <v/>
      </c>
    </row>
    <row r="475">
      <c r="A475" s="5" t="n"/>
      <c r="B475" s="6" t="n"/>
      <c r="C475" s="6" t="n"/>
      <c r="D475" s="6" t="n"/>
      <c r="E475" s="7" t="n"/>
      <c r="F475" s="7" t="n"/>
      <c r="G475" s="6" t="n"/>
      <c r="H475" s="6" t="n"/>
      <c r="I475" s="7" t="n"/>
      <c r="J475" s="8" t="n"/>
      <c r="K475" s="6" t="n"/>
      <c r="L475" s="9">
        <f>IF(OR(E475="",F475=""),"",ROUND(IF(D475="Short",E475-F475,F475-E475)*G475*H475-I475,2))</f>
        <v/>
      </c>
      <c r="M475" s="10">
        <f>IF(OR(L475="",N(J475)&lt;=0),"",L475/J475)</f>
        <v/>
      </c>
      <c r="N475" s="11">
        <f>IF(L475="","",IF(L475&gt;0,"Win",IF(L475&lt;0,"Loss","Flat")))</f>
        <v/>
      </c>
      <c r="O475" s="9">
        <f>IF(L475="","",SUM($L$2:L475))</f>
        <v/>
      </c>
      <c r="P475" s="9">
        <f>IF(L475="","",MAX(0,MAX($O$2:O475)))</f>
        <v/>
      </c>
      <c r="Q475" s="9">
        <f>IF(L475="","",P475-O475)</f>
        <v/>
      </c>
      <c r="S475">
        <f>IF(N475="Win",N(S474)+1,0)</f>
        <v/>
      </c>
      <c r="T475">
        <f>IF(N475="Loss",N(T474)+1,0)</f>
        <v/>
      </c>
    </row>
    <row r="476">
      <c r="A476" s="5" t="n"/>
      <c r="B476" s="6" t="n"/>
      <c r="C476" s="6" t="n"/>
      <c r="D476" s="6" t="n"/>
      <c r="E476" s="7" t="n"/>
      <c r="F476" s="7" t="n"/>
      <c r="G476" s="6" t="n"/>
      <c r="H476" s="6" t="n"/>
      <c r="I476" s="7" t="n"/>
      <c r="J476" s="8" t="n"/>
      <c r="K476" s="6" t="n"/>
      <c r="L476" s="9">
        <f>IF(OR(E476="",F476=""),"",ROUND(IF(D476="Short",E476-F476,F476-E476)*G476*H476-I476,2))</f>
        <v/>
      </c>
      <c r="M476" s="10">
        <f>IF(OR(L476="",N(J476)&lt;=0),"",L476/J476)</f>
        <v/>
      </c>
      <c r="N476" s="11">
        <f>IF(L476="","",IF(L476&gt;0,"Win",IF(L476&lt;0,"Loss","Flat")))</f>
        <v/>
      </c>
      <c r="O476" s="9">
        <f>IF(L476="","",SUM($L$2:L476))</f>
        <v/>
      </c>
      <c r="P476" s="9">
        <f>IF(L476="","",MAX(0,MAX($O$2:O476)))</f>
        <v/>
      </c>
      <c r="Q476" s="9">
        <f>IF(L476="","",P476-O476)</f>
        <v/>
      </c>
      <c r="S476">
        <f>IF(N476="Win",N(S475)+1,0)</f>
        <v/>
      </c>
      <c r="T476">
        <f>IF(N476="Loss",N(T475)+1,0)</f>
        <v/>
      </c>
    </row>
    <row r="477">
      <c r="A477" s="5" t="n"/>
      <c r="B477" s="6" t="n"/>
      <c r="C477" s="6" t="n"/>
      <c r="D477" s="6" t="n"/>
      <c r="E477" s="7" t="n"/>
      <c r="F477" s="7" t="n"/>
      <c r="G477" s="6" t="n"/>
      <c r="H477" s="6" t="n"/>
      <c r="I477" s="7" t="n"/>
      <c r="J477" s="8" t="n"/>
      <c r="K477" s="6" t="n"/>
      <c r="L477" s="9">
        <f>IF(OR(E477="",F477=""),"",ROUND(IF(D477="Short",E477-F477,F477-E477)*G477*H477-I477,2))</f>
        <v/>
      </c>
      <c r="M477" s="10">
        <f>IF(OR(L477="",N(J477)&lt;=0),"",L477/J477)</f>
        <v/>
      </c>
      <c r="N477" s="11">
        <f>IF(L477="","",IF(L477&gt;0,"Win",IF(L477&lt;0,"Loss","Flat")))</f>
        <v/>
      </c>
      <c r="O477" s="9">
        <f>IF(L477="","",SUM($L$2:L477))</f>
        <v/>
      </c>
      <c r="P477" s="9">
        <f>IF(L477="","",MAX(0,MAX($O$2:O477)))</f>
        <v/>
      </c>
      <c r="Q477" s="9">
        <f>IF(L477="","",P477-O477)</f>
        <v/>
      </c>
      <c r="S477">
        <f>IF(N477="Win",N(S476)+1,0)</f>
        <v/>
      </c>
      <c r="T477">
        <f>IF(N477="Loss",N(T476)+1,0)</f>
        <v/>
      </c>
    </row>
    <row r="478">
      <c r="A478" s="5" t="n"/>
      <c r="B478" s="6" t="n"/>
      <c r="C478" s="6" t="n"/>
      <c r="D478" s="6" t="n"/>
      <c r="E478" s="7" t="n"/>
      <c r="F478" s="7" t="n"/>
      <c r="G478" s="6" t="n"/>
      <c r="H478" s="6" t="n"/>
      <c r="I478" s="7" t="n"/>
      <c r="J478" s="8" t="n"/>
      <c r="K478" s="6" t="n"/>
      <c r="L478" s="9">
        <f>IF(OR(E478="",F478=""),"",ROUND(IF(D478="Short",E478-F478,F478-E478)*G478*H478-I478,2))</f>
        <v/>
      </c>
      <c r="M478" s="10">
        <f>IF(OR(L478="",N(J478)&lt;=0),"",L478/J478)</f>
        <v/>
      </c>
      <c r="N478" s="11">
        <f>IF(L478="","",IF(L478&gt;0,"Win",IF(L478&lt;0,"Loss","Flat")))</f>
        <v/>
      </c>
      <c r="O478" s="9">
        <f>IF(L478="","",SUM($L$2:L478))</f>
        <v/>
      </c>
      <c r="P478" s="9">
        <f>IF(L478="","",MAX(0,MAX($O$2:O478)))</f>
        <v/>
      </c>
      <c r="Q478" s="9">
        <f>IF(L478="","",P478-O478)</f>
        <v/>
      </c>
      <c r="S478">
        <f>IF(N478="Win",N(S477)+1,0)</f>
        <v/>
      </c>
      <c r="T478">
        <f>IF(N478="Loss",N(T477)+1,0)</f>
        <v/>
      </c>
    </row>
    <row r="479">
      <c r="A479" s="5" t="n"/>
      <c r="B479" s="6" t="n"/>
      <c r="C479" s="6" t="n"/>
      <c r="D479" s="6" t="n"/>
      <c r="E479" s="7" t="n"/>
      <c r="F479" s="7" t="n"/>
      <c r="G479" s="6" t="n"/>
      <c r="H479" s="6" t="n"/>
      <c r="I479" s="7" t="n"/>
      <c r="J479" s="8" t="n"/>
      <c r="K479" s="6" t="n"/>
      <c r="L479" s="9">
        <f>IF(OR(E479="",F479=""),"",ROUND(IF(D479="Short",E479-F479,F479-E479)*G479*H479-I479,2))</f>
        <v/>
      </c>
      <c r="M479" s="10">
        <f>IF(OR(L479="",N(J479)&lt;=0),"",L479/J479)</f>
        <v/>
      </c>
      <c r="N479" s="11">
        <f>IF(L479="","",IF(L479&gt;0,"Win",IF(L479&lt;0,"Loss","Flat")))</f>
        <v/>
      </c>
      <c r="O479" s="9">
        <f>IF(L479="","",SUM($L$2:L479))</f>
        <v/>
      </c>
      <c r="P479" s="9">
        <f>IF(L479="","",MAX(0,MAX($O$2:O479)))</f>
        <v/>
      </c>
      <c r="Q479" s="9">
        <f>IF(L479="","",P479-O479)</f>
        <v/>
      </c>
      <c r="S479">
        <f>IF(N479="Win",N(S478)+1,0)</f>
        <v/>
      </c>
      <c r="T479">
        <f>IF(N479="Loss",N(T478)+1,0)</f>
        <v/>
      </c>
    </row>
    <row r="480">
      <c r="A480" s="5" t="n"/>
      <c r="B480" s="6" t="n"/>
      <c r="C480" s="6" t="n"/>
      <c r="D480" s="6" t="n"/>
      <c r="E480" s="7" t="n"/>
      <c r="F480" s="7" t="n"/>
      <c r="G480" s="6" t="n"/>
      <c r="H480" s="6" t="n"/>
      <c r="I480" s="7" t="n"/>
      <c r="J480" s="8" t="n"/>
      <c r="K480" s="6" t="n"/>
      <c r="L480" s="9">
        <f>IF(OR(E480="",F480=""),"",ROUND(IF(D480="Short",E480-F480,F480-E480)*G480*H480-I480,2))</f>
        <v/>
      </c>
      <c r="M480" s="10">
        <f>IF(OR(L480="",N(J480)&lt;=0),"",L480/J480)</f>
        <v/>
      </c>
      <c r="N480" s="11">
        <f>IF(L480="","",IF(L480&gt;0,"Win",IF(L480&lt;0,"Loss","Flat")))</f>
        <v/>
      </c>
      <c r="O480" s="9">
        <f>IF(L480="","",SUM($L$2:L480))</f>
        <v/>
      </c>
      <c r="P480" s="9">
        <f>IF(L480="","",MAX(0,MAX($O$2:O480)))</f>
        <v/>
      </c>
      <c r="Q480" s="9">
        <f>IF(L480="","",P480-O480)</f>
        <v/>
      </c>
      <c r="S480">
        <f>IF(N480="Win",N(S479)+1,0)</f>
        <v/>
      </c>
      <c r="T480">
        <f>IF(N480="Loss",N(T479)+1,0)</f>
        <v/>
      </c>
    </row>
    <row r="481">
      <c r="A481" s="5" t="n"/>
      <c r="B481" s="6" t="n"/>
      <c r="C481" s="6" t="n"/>
      <c r="D481" s="6" t="n"/>
      <c r="E481" s="7" t="n"/>
      <c r="F481" s="7" t="n"/>
      <c r="G481" s="6" t="n"/>
      <c r="H481" s="6" t="n"/>
      <c r="I481" s="7" t="n"/>
      <c r="J481" s="8" t="n"/>
      <c r="K481" s="6" t="n"/>
      <c r="L481" s="9">
        <f>IF(OR(E481="",F481=""),"",ROUND(IF(D481="Short",E481-F481,F481-E481)*G481*H481-I481,2))</f>
        <v/>
      </c>
      <c r="M481" s="10">
        <f>IF(OR(L481="",N(J481)&lt;=0),"",L481/J481)</f>
        <v/>
      </c>
      <c r="N481" s="11">
        <f>IF(L481="","",IF(L481&gt;0,"Win",IF(L481&lt;0,"Loss","Flat")))</f>
        <v/>
      </c>
      <c r="O481" s="9">
        <f>IF(L481="","",SUM($L$2:L481))</f>
        <v/>
      </c>
      <c r="P481" s="9">
        <f>IF(L481="","",MAX(0,MAX($O$2:O481)))</f>
        <v/>
      </c>
      <c r="Q481" s="9">
        <f>IF(L481="","",P481-O481)</f>
        <v/>
      </c>
      <c r="S481">
        <f>IF(N481="Win",N(S480)+1,0)</f>
        <v/>
      </c>
      <c r="T481">
        <f>IF(N481="Loss",N(T480)+1,0)</f>
        <v/>
      </c>
    </row>
    <row r="482">
      <c r="A482" s="5" t="n"/>
      <c r="B482" s="6" t="n"/>
      <c r="C482" s="6" t="n"/>
      <c r="D482" s="6" t="n"/>
      <c r="E482" s="7" t="n"/>
      <c r="F482" s="7" t="n"/>
      <c r="G482" s="6" t="n"/>
      <c r="H482" s="6" t="n"/>
      <c r="I482" s="7" t="n"/>
      <c r="J482" s="8" t="n"/>
      <c r="K482" s="6" t="n"/>
      <c r="L482" s="9">
        <f>IF(OR(E482="",F482=""),"",ROUND(IF(D482="Short",E482-F482,F482-E482)*G482*H482-I482,2))</f>
        <v/>
      </c>
      <c r="M482" s="10">
        <f>IF(OR(L482="",N(J482)&lt;=0),"",L482/J482)</f>
        <v/>
      </c>
      <c r="N482" s="11">
        <f>IF(L482="","",IF(L482&gt;0,"Win",IF(L482&lt;0,"Loss","Flat")))</f>
        <v/>
      </c>
      <c r="O482" s="9">
        <f>IF(L482="","",SUM($L$2:L482))</f>
        <v/>
      </c>
      <c r="P482" s="9">
        <f>IF(L482="","",MAX(0,MAX($O$2:O482)))</f>
        <v/>
      </c>
      <c r="Q482" s="9">
        <f>IF(L482="","",P482-O482)</f>
        <v/>
      </c>
      <c r="S482">
        <f>IF(N482="Win",N(S481)+1,0)</f>
        <v/>
      </c>
      <c r="T482">
        <f>IF(N482="Loss",N(T481)+1,0)</f>
        <v/>
      </c>
    </row>
    <row r="483">
      <c r="A483" s="5" t="n"/>
      <c r="B483" s="6" t="n"/>
      <c r="C483" s="6" t="n"/>
      <c r="D483" s="6" t="n"/>
      <c r="E483" s="7" t="n"/>
      <c r="F483" s="7" t="n"/>
      <c r="G483" s="6" t="n"/>
      <c r="H483" s="6" t="n"/>
      <c r="I483" s="7" t="n"/>
      <c r="J483" s="8" t="n"/>
      <c r="K483" s="6" t="n"/>
      <c r="L483" s="9">
        <f>IF(OR(E483="",F483=""),"",ROUND(IF(D483="Short",E483-F483,F483-E483)*G483*H483-I483,2))</f>
        <v/>
      </c>
      <c r="M483" s="10">
        <f>IF(OR(L483="",N(J483)&lt;=0),"",L483/J483)</f>
        <v/>
      </c>
      <c r="N483" s="11">
        <f>IF(L483="","",IF(L483&gt;0,"Win",IF(L483&lt;0,"Loss","Flat")))</f>
        <v/>
      </c>
      <c r="O483" s="9">
        <f>IF(L483="","",SUM($L$2:L483))</f>
        <v/>
      </c>
      <c r="P483" s="9">
        <f>IF(L483="","",MAX(0,MAX($O$2:O483)))</f>
        <v/>
      </c>
      <c r="Q483" s="9">
        <f>IF(L483="","",P483-O483)</f>
        <v/>
      </c>
      <c r="S483">
        <f>IF(N483="Win",N(S482)+1,0)</f>
        <v/>
      </c>
      <c r="T483">
        <f>IF(N483="Loss",N(T482)+1,0)</f>
        <v/>
      </c>
    </row>
    <row r="484">
      <c r="A484" s="5" t="n"/>
      <c r="B484" s="6" t="n"/>
      <c r="C484" s="6" t="n"/>
      <c r="D484" s="6" t="n"/>
      <c r="E484" s="7" t="n"/>
      <c r="F484" s="7" t="n"/>
      <c r="G484" s="6" t="n"/>
      <c r="H484" s="6" t="n"/>
      <c r="I484" s="7" t="n"/>
      <c r="J484" s="8" t="n"/>
      <c r="K484" s="6" t="n"/>
      <c r="L484" s="9">
        <f>IF(OR(E484="",F484=""),"",ROUND(IF(D484="Short",E484-F484,F484-E484)*G484*H484-I484,2))</f>
        <v/>
      </c>
      <c r="M484" s="10">
        <f>IF(OR(L484="",N(J484)&lt;=0),"",L484/J484)</f>
        <v/>
      </c>
      <c r="N484" s="11">
        <f>IF(L484="","",IF(L484&gt;0,"Win",IF(L484&lt;0,"Loss","Flat")))</f>
        <v/>
      </c>
      <c r="O484" s="9">
        <f>IF(L484="","",SUM($L$2:L484))</f>
        <v/>
      </c>
      <c r="P484" s="9">
        <f>IF(L484="","",MAX(0,MAX($O$2:O484)))</f>
        <v/>
      </c>
      <c r="Q484" s="9">
        <f>IF(L484="","",P484-O484)</f>
        <v/>
      </c>
      <c r="S484">
        <f>IF(N484="Win",N(S483)+1,0)</f>
        <v/>
      </c>
      <c r="T484">
        <f>IF(N484="Loss",N(T483)+1,0)</f>
        <v/>
      </c>
    </row>
    <row r="485">
      <c r="A485" s="5" t="n"/>
      <c r="B485" s="6" t="n"/>
      <c r="C485" s="6" t="n"/>
      <c r="D485" s="6" t="n"/>
      <c r="E485" s="7" t="n"/>
      <c r="F485" s="7" t="n"/>
      <c r="G485" s="6" t="n"/>
      <c r="H485" s="6" t="n"/>
      <c r="I485" s="7" t="n"/>
      <c r="J485" s="8" t="n"/>
      <c r="K485" s="6" t="n"/>
      <c r="L485" s="9">
        <f>IF(OR(E485="",F485=""),"",ROUND(IF(D485="Short",E485-F485,F485-E485)*G485*H485-I485,2))</f>
        <v/>
      </c>
      <c r="M485" s="10">
        <f>IF(OR(L485="",N(J485)&lt;=0),"",L485/J485)</f>
        <v/>
      </c>
      <c r="N485" s="11">
        <f>IF(L485="","",IF(L485&gt;0,"Win",IF(L485&lt;0,"Loss","Flat")))</f>
        <v/>
      </c>
      <c r="O485" s="9">
        <f>IF(L485="","",SUM($L$2:L485))</f>
        <v/>
      </c>
      <c r="P485" s="9">
        <f>IF(L485="","",MAX(0,MAX($O$2:O485)))</f>
        <v/>
      </c>
      <c r="Q485" s="9">
        <f>IF(L485="","",P485-O485)</f>
        <v/>
      </c>
      <c r="S485">
        <f>IF(N485="Win",N(S484)+1,0)</f>
        <v/>
      </c>
      <c r="T485">
        <f>IF(N485="Loss",N(T484)+1,0)</f>
        <v/>
      </c>
    </row>
    <row r="486">
      <c r="A486" s="5" t="n"/>
      <c r="B486" s="6" t="n"/>
      <c r="C486" s="6" t="n"/>
      <c r="D486" s="6" t="n"/>
      <c r="E486" s="7" t="n"/>
      <c r="F486" s="7" t="n"/>
      <c r="G486" s="6" t="n"/>
      <c r="H486" s="6" t="n"/>
      <c r="I486" s="7" t="n"/>
      <c r="J486" s="8" t="n"/>
      <c r="K486" s="6" t="n"/>
      <c r="L486" s="9">
        <f>IF(OR(E486="",F486=""),"",ROUND(IF(D486="Short",E486-F486,F486-E486)*G486*H486-I486,2))</f>
        <v/>
      </c>
      <c r="M486" s="10">
        <f>IF(OR(L486="",N(J486)&lt;=0),"",L486/J486)</f>
        <v/>
      </c>
      <c r="N486" s="11">
        <f>IF(L486="","",IF(L486&gt;0,"Win",IF(L486&lt;0,"Loss","Flat")))</f>
        <v/>
      </c>
      <c r="O486" s="9">
        <f>IF(L486="","",SUM($L$2:L486))</f>
        <v/>
      </c>
      <c r="P486" s="9">
        <f>IF(L486="","",MAX(0,MAX($O$2:O486)))</f>
        <v/>
      </c>
      <c r="Q486" s="9">
        <f>IF(L486="","",P486-O486)</f>
        <v/>
      </c>
      <c r="S486">
        <f>IF(N486="Win",N(S485)+1,0)</f>
        <v/>
      </c>
      <c r="T486">
        <f>IF(N486="Loss",N(T485)+1,0)</f>
        <v/>
      </c>
    </row>
    <row r="487">
      <c r="A487" s="5" t="n"/>
      <c r="B487" s="6" t="n"/>
      <c r="C487" s="6" t="n"/>
      <c r="D487" s="6" t="n"/>
      <c r="E487" s="7" t="n"/>
      <c r="F487" s="7" t="n"/>
      <c r="G487" s="6" t="n"/>
      <c r="H487" s="6" t="n"/>
      <c r="I487" s="7" t="n"/>
      <c r="J487" s="8" t="n"/>
      <c r="K487" s="6" t="n"/>
      <c r="L487" s="9">
        <f>IF(OR(E487="",F487=""),"",ROUND(IF(D487="Short",E487-F487,F487-E487)*G487*H487-I487,2))</f>
        <v/>
      </c>
      <c r="M487" s="10">
        <f>IF(OR(L487="",N(J487)&lt;=0),"",L487/J487)</f>
        <v/>
      </c>
      <c r="N487" s="11">
        <f>IF(L487="","",IF(L487&gt;0,"Win",IF(L487&lt;0,"Loss","Flat")))</f>
        <v/>
      </c>
      <c r="O487" s="9">
        <f>IF(L487="","",SUM($L$2:L487))</f>
        <v/>
      </c>
      <c r="P487" s="9">
        <f>IF(L487="","",MAX(0,MAX($O$2:O487)))</f>
        <v/>
      </c>
      <c r="Q487" s="9">
        <f>IF(L487="","",P487-O487)</f>
        <v/>
      </c>
      <c r="S487">
        <f>IF(N487="Win",N(S486)+1,0)</f>
        <v/>
      </c>
      <c r="T487">
        <f>IF(N487="Loss",N(T486)+1,0)</f>
        <v/>
      </c>
    </row>
    <row r="488">
      <c r="A488" s="5" t="n"/>
      <c r="B488" s="6" t="n"/>
      <c r="C488" s="6" t="n"/>
      <c r="D488" s="6" t="n"/>
      <c r="E488" s="7" t="n"/>
      <c r="F488" s="7" t="n"/>
      <c r="G488" s="6" t="n"/>
      <c r="H488" s="6" t="n"/>
      <c r="I488" s="7" t="n"/>
      <c r="J488" s="8" t="n"/>
      <c r="K488" s="6" t="n"/>
      <c r="L488" s="9">
        <f>IF(OR(E488="",F488=""),"",ROUND(IF(D488="Short",E488-F488,F488-E488)*G488*H488-I488,2))</f>
        <v/>
      </c>
      <c r="M488" s="10">
        <f>IF(OR(L488="",N(J488)&lt;=0),"",L488/J488)</f>
        <v/>
      </c>
      <c r="N488" s="11">
        <f>IF(L488="","",IF(L488&gt;0,"Win",IF(L488&lt;0,"Loss","Flat")))</f>
        <v/>
      </c>
      <c r="O488" s="9">
        <f>IF(L488="","",SUM($L$2:L488))</f>
        <v/>
      </c>
      <c r="P488" s="9">
        <f>IF(L488="","",MAX(0,MAX($O$2:O488)))</f>
        <v/>
      </c>
      <c r="Q488" s="9">
        <f>IF(L488="","",P488-O488)</f>
        <v/>
      </c>
      <c r="S488">
        <f>IF(N488="Win",N(S487)+1,0)</f>
        <v/>
      </c>
      <c r="T488">
        <f>IF(N488="Loss",N(T487)+1,0)</f>
        <v/>
      </c>
    </row>
    <row r="489">
      <c r="A489" s="5" t="n"/>
      <c r="B489" s="6" t="n"/>
      <c r="C489" s="6" t="n"/>
      <c r="D489" s="6" t="n"/>
      <c r="E489" s="7" t="n"/>
      <c r="F489" s="7" t="n"/>
      <c r="G489" s="6" t="n"/>
      <c r="H489" s="6" t="n"/>
      <c r="I489" s="7" t="n"/>
      <c r="J489" s="8" t="n"/>
      <c r="K489" s="6" t="n"/>
      <c r="L489" s="9">
        <f>IF(OR(E489="",F489=""),"",ROUND(IF(D489="Short",E489-F489,F489-E489)*G489*H489-I489,2))</f>
        <v/>
      </c>
      <c r="M489" s="10">
        <f>IF(OR(L489="",N(J489)&lt;=0),"",L489/J489)</f>
        <v/>
      </c>
      <c r="N489" s="11">
        <f>IF(L489="","",IF(L489&gt;0,"Win",IF(L489&lt;0,"Loss","Flat")))</f>
        <v/>
      </c>
      <c r="O489" s="9">
        <f>IF(L489="","",SUM($L$2:L489))</f>
        <v/>
      </c>
      <c r="P489" s="9">
        <f>IF(L489="","",MAX(0,MAX($O$2:O489)))</f>
        <v/>
      </c>
      <c r="Q489" s="9">
        <f>IF(L489="","",P489-O489)</f>
        <v/>
      </c>
      <c r="S489">
        <f>IF(N489="Win",N(S488)+1,0)</f>
        <v/>
      </c>
      <c r="T489">
        <f>IF(N489="Loss",N(T488)+1,0)</f>
        <v/>
      </c>
    </row>
    <row r="490">
      <c r="A490" s="5" t="n"/>
      <c r="B490" s="6" t="n"/>
      <c r="C490" s="6" t="n"/>
      <c r="D490" s="6" t="n"/>
      <c r="E490" s="7" t="n"/>
      <c r="F490" s="7" t="n"/>
      <c r="G490" s="6" t="n"/>
      <c r="H490" s="6" t="n"/>
      <c r="I490" s="7" t="n"/>
      <c r="J490" s="8" t="n"/>
      <c r="K490" s="6" t="n"/>
      <c r="L490" s="9">
        <f>IF(OR(E490="",F490=""),"",ROUND(IF(D490="Short",E490-F490,F490-E490)*G490*H490-I490,2))</f>
        <v/>
      </c>
      <c r="M490" s="10">
        <f>IF(OR(L490="",N(J490)&lt;=0),"",L490/J490)</f>
        <v/>
      </c>
      <c r="N490" s="11">
        <f>IF(L490="","",IF(L490&gt;0,"Win",IF(L490&lt;0,"Loss","Flat")))</f>
        <v/>
      </c>
      <c r="O490" s="9">
        <f>IF(L490="","",SUM($L$2:L490))</f>
        <v/>
      </c>
      <c r="P490" s="9">
        <f>IF(L490="","",MAX(0,MAX($O$2:O490)))</f>
        <v/>
      </c>
      <c r="Q490" s="9">
        <f>IF(L490="","",P490-O490)</f>
        <v/>
      </c>
      <c r="S490">
        <f>IF(N490="Win",N(S489)+1,0)</f>
        <v/>
      </c>
      <c r="T490">
        <f>IF(N490="Loss",N(T489)+1,0)</f>
        <v/>
      </c>
    </row>
    <row r="491">
      <c r="A491" s="5" t="n"/>
      <c r="B491" s="6" t="n"/>
      <c r="C491" s="6" t="n"/>
      <c r="D491" s="6" t="n"/>
      <c r="E491" s="7" t="n"/>
      <c r="F491" s="7" t="n"/>
      <c r="G491" s="6" t="n"/>
      <c r="H491" s="6" t="n"/>
      <c r="I491" s="7" t="n"/>
      <c r="J491" s="8" t="n"/>
      <c r="K491" s="6" t="n"/>
      <c r="L491" s="9">
        <f>IF(OR(E491="",F491=""),"",ROUND(IF(D491="Short",E491-F491,F491-E491)*G491*H491-I491,2))</f>
        <v/>
      </c>
      <c r="M491" s="10">
        <f>IF(OR(L491="",N(J491)&lt;=0),"",L491/J491)</f>
        <v/>
      </c>
      <c r="N491" s="11">
        <f>IF(L491="","",IF(L491&gt;0,"Win",IF(L491&lt;0,"Loss","Flat")))</f>
        <v/>
      </c>
      <c r="O491" s="9">
        <f>IF(L491="","",SUM($L$2:L491))</f>
        <v/>
      </c>
      <c r="P491" s="9">
        <f>IF(L491="","",MAX(0,MAX($O$2:O491)))</f>
        <v/>
      </c>
      <c r="Q491" s="9">
        <f>IF(L491="","",P491-O491)</f>
        <v/>
      </c>
      <c r="S491">
        <f>IF(N491="Win",N(S490)+1,0)</f>
        <v/>
      </c>
      <c r="T491">
        <f>IF(N491="Loss",N(T490)+1,0)</f>
        <v/>
      </c>
    </row>
    <row r="492">
      <c r="A492" s="5" t="n"/>
      <c r="B492" s="6" t="n"/>
      <c r="C492" s="6" t="n"/>
      <c r="D492" s="6" t="n"/>
      <c r="E492" s="7" t="n"/>
      <c r="F492" s="7" t="n"/>
      <c r="G492" s="6" t="n"/>
      <c r="H492" s="6" t="n"/>
      <c r="I492" s="7" t="n"/>
      <c r="J492" s="8" t="n"/>
      <c r="K492" s="6" t="n"/>
      <c r="L492" s="9">
        <f>IF(OR(E492="",F492=""),"",ROUND(IF(D492="Short",E492-F492,F492-E492)*G492*H492-I492,2))</f>
        <v/>
      </c>
      <c r="M492" s="10">
        <f>IF(OR(L492="",N(J492)&lt;=0),"",L492/J492)</f>
        <v/>
      </c>
      <c r="N492" s="11">
        <f>IF(L492="","",IF(L492&gt;0,"Win",IF(L492&lt;0,"Loss","Flat")))</f>
        <v/>
      </c>
      <c r="O492" s="9">
        <f>IF(L492="","",SUM($L$2:L492))</f>
        <v/>
      </c>
      <c r="P492" s="9">
        <f>IF(L492="","",MAX(0,MAX($O$2:O492)))</f>
        <v/>
      </c>
      <c r="Q492" s="9">
        <f>IF(L492="","",P492-O492)</f>
        <v/>
      </c>
      <c r="S492">
        <f>IF(N492="Win",N(S491)+1,0)</f>
        <v/>
      </c>
      <c r="T492">
        <f>IF(N492="Loss",N(T491)+1,0)</f>
        <v/>
      </c>
    </row>
    <row r="493">
      <c r="A493" s="5" t="n"/>
      <c r="B493" s="6" t="n"/>
      <c r="C493" s="6" t="n"/>
      <c r="D493" s="6" t="n"/>
      <c r="E493" s="7" t="n"/>
      <c r="F493" s="7" t="n"/>
      <c r="G493" s="6" t="n"/>
      <c r="H493" s="6" t="n"/>
      <c r="I493" s="7" t="n"/>
      <c r="J493" s="8" t="n"/>
      <c r="K493" s="6" t="n"/>
      <c r="L493" s="9">
        <f>IF(OR(E493="",F493=""),"",ROUND(IF(D493="Short",E493-F493,F493-E493)*G493*H493-I493,2))</f>
        <v/>
      </c>
      <c r="M493" s="10">
        <f>IF(OR(L493="",N(J493)&lt;=0),"",L493/J493)</f>
        <v/>
      </c>
      <c r="N493" s="11">
        <f>IF(L493="","",IF(L493&gt;0,"Win",IF(L493&lt;0,"Loss","Flat")))</f>
        <v/>
      </c>
      <c r="O493" s="9">
        <f>IF(L493="","",SUM($L$2:L493))</f>
        <v/>
      </c>
      <c r="P493" s="9">
        <f>IF(L493="","",MAX(0,MAX($O$2:O493)))</f>
        <v/>
      </c>
      <c r="Q493" s="9">
        <f>IF(L493="","",P493-O493)</f>
        <v/>
      </c>
      <c r="S493">
        <f>IF(N493="Win",N(S492)+1,0)</f>
        <v/>
      </c>
      <c r="T493">
        <f>IF(N493="Loss",N(T492)+1,0)</f>
        <v/>
      </c>
    </row>
    <row r="494">
      <c r="A494" s="5" t="n"/>
      <c r="B494" s="6" t="n"/>
      <c r="C494" s="6" t="n"/>
      <c r="D494" s="6" t="n"/>
      <c r="E494" s="7" t="n"/>
      <c r="F494" s="7" t="n"/>
      <c r="G494" s="6" t="n"/>
      <c r="H494" s="6" t="n"/>
      <c r="I494" s="7" t="n"/>
      <c r="J494" s="8" t="n"/>
      <c r="K494" s="6" t="n"/>
      <c r="L494" s="9">
        <f>IF(OR(E494="",F494=""),"",ROUND(IF(D494="Short",E494-F494,F494-E494)*G494*H494-I494,2))</f>
        <v/>
      </c>
      <c r="M494" s="10">
        <f>IF(OR(L494="",N(J494)&lt;=0),"",L494/J494)</f>
        <v/>
      </c>
      <c r="N494" s="11">
        <f>IF(L494="","",IF(L494&gt;0,"Win",IF(L494&lt;0,"Loss","Flat")))</f>
        <v/>
      </c>
      <c r="O494" s="9">
        <f>IF(L494="","",SUM($L$2:L494))</f>
        <v/>
      </c>
      <c r="P494" s="9">
        <f>IF(L494="","",MAX(0,MAX($O$2:O494)))</f>
        <v/>
      </c>
      <c r="Q494" s="9">
        <f>IF(L494="","",P494-O494)</f>
        <v/>
      </c>
      <c r="S494">
        <f>IF(N494="Win",N(S493)+1,0)</f>
        <v/>
      </c>
      <c r="T494">
        <f>IF(N494="Loss",N(T493)+1,0)</f>
        <v/>
      </c>
    </row>
    <row r="495">
      <c r="A495" s="5" t="n"/>
      <c r="B495" s="6" t="n"/>
      <c r="C495" s="6" t="n"/>
      <c r="D495" s="6" t="n"/>
      <c r="E495" s="7" t="n"/>
      <c r="F495" s="7" t="n"/>
      <c r="G495" s="6" t="n"/>
      <c r="H495" s="6" t="n"/>
      <c r="I495" s="7" t="n"/>
      <c r="J495" s="8" t="n"/>
      <c r="K495" s="6" t="n"/>
      <c r="L495" s="9">
        <f>IF(OR(E495="",F495=""),"",ROUND(IF(D495="Short",E495-F495,F495-E495)*G495*H495-I495,2))</f>
        <v/>
      </c>
      <c r="M495" s="10">
        <f>IF(OR(L495="",N(J495)&lt;=0),"",L495/J495)</f>
        <v/>
      </c>
      <c r="N495" s="11">
        <f>IF(L495="","",IF(L495&gt;0,"Win",IF(L495&lt;0,"Loss","Flat")))</f>
        <v/>
      </c>
      <c r="O495" s="9">
        <f>IF(L495="","",SUM($L$2:L495))</f>
        <v/>
      </c>
      <c r="P495" s="9">
        <f>IF(L495="","",MAX(0,MAX($O$2:O495)))</f>
        <v/>
      </c>
      <c r="Q495" s="9">
        <f>IF(L495="","",P495-O495)</f>
        <v/>
      </c>
      <c r="S495">
        <f>IF(N495="Win",N(S494)+1,0)</f>
        <v/>
      </c>
      <c r="T495">
        <f>IF(N495="Loss",N(T494)+1,0)</f>
        <v/>
      </c>
    </row>
    <row r="496">
      <c r="A496" s="5" t="n"/>
      <c r="B496" s="6" t="n"/>
      <c r="C496" s="6" t="n"/>
      <c r="D496" s="6" t="n"/>
      <c r="E496" s="7" t="n"/>
      <c r="F496" s="7" t="n"/>
      <c r="G496" s="6" t="n"/>
      <c r="H496" s="6" t="n"/>
      <c r="I496" s="7" t="n"/>
      <c r="J496" s="8" t="n"/>
      <c r="K496" s="6" t="n"/>
      <c r="L496" s="9">
        <f>IF(OR(E496="",F496=""),"",ROUND(IF(D496="Short",E496-F496,F496-E496)*G496*H496-I496,2))</f>
        <v/>
      </c>
      <c r="M496" s="10">
        <f>IF(OR(L496="",N(J496)&lt;=0),"",L496/J496)</f>
        <v/>
      </c>
      <c r="N496" s="11">
        <f>IF(L496="","",IF(L496&gt;0,"Win",IF(L496&lt;0,"Loss","Flat")))</f>
        <v/>
      </c>
      <c r="O496" s="9">
        <f>IF(L496="","",SUM($L$2:L496))</f>
        <v/>
      </c>
      <c r="P496" s="9">
        <f>IF(L496="","",MAX(0,MAX($O$2:O496)))</f>
        <v/>
      </c>
      <c r="Q496" s="9">
        <f>IF(L496="","",P496-O496)</f>
        <v/>
      </c>
      <c r="S496">
        <f>IF(N496="Win",N(S495)+1,0)</f>
        <v/>
      </c>
      <c r="T496">
        <f>IF(N496="Loss",N(T495)+1,0)</f>
        <v/>
      </c>
    </row>
    <row r="497">
      <c r="A497" s="5" t="n"/>
      <c r="B497" s="6" t="n"/>
      <c r="C497" s="6" t="n"/>
      <c r="D497" s="6" t="n"/>
      <c r="E497" s="7" t="n"/>
      <c r="F497" s="7" t="n"/>
      <c r="G497" s="6" t="n"/>
      <c r="H497" s="6" t="n"/>
      <c r="I497" s="7" t="n"/>
      <c r="J497" s="8" t="n"/>
      <c r="K497" s="6" t="n"/>
      <c r="L497" s="9">
        <f>IF(OR(E497="",F497=""),"",ROUND(IF(D497="Short",E497-F497,F497-E497)*G497*H497-I497,2))</f>
        <v/>
      </c>
      <c r="M497" s="10">
        <f>IF(OR(L497="",N(J497)&lt;=0),"",L497/J497)</f>
        <v/>
      </c>
      <c r="N497" s="11">
        <f>IF(L497="","",IF(L497&gt;0,"Win",IF(L497&lt;0,"Loss","Flat")))</f>
        <v/>
      </c>
      <c r="O497" s="9">
        <f>IF(L497="","",SUM($L$2:L497))</f>
        <v/>
      </c>
      <c r="P497" s="9">
        <f>IF(L497="","",MAX(0,MAX($O$2:O497)))</f>
        <v/>
      </c>
      <c r="Q497" s="9">
        <f>IF(L497="","",P497-O497)</f>
        <v/>
      </c>
      <c r="S497">
        <f>IF(N497="Win",N(S496)+1,0)</f>
        <v/>
      </c>
      <c r="T497">
        <f>IF(N497="Loss",N(T496)+1,0)</f>
        <v/>
      </c>
    </row>
    <row r="498">
      <c r="A498" s="5" t="n"/>
      <c r="B498" s="6" t="n"/>
      <c r="C498" s="6" t="n"/>
      <c r="D498" s="6" t="n"/>
      <c r="E498" s="7" t="n"/>
      <c r="F498" s="7" t="n"/>
      <c r="G498" s="6" t="n"/>
      <c r="H498" s="6" t="n"/>
      <c r="I498" s="7" t="n"/>
      <c r="J498" s="8" t="n"/>
      <c r="K498" s="6" t="n"/>
      <c r="L498" s="9">
        <f>IF(OR(E498="",F498=""),"",ROUND(IF(D498="Short",E498-F498,F498-E498)*G498*H498-I498,2))</f>
        <v/>
      </c>
      <c r="M498" s="10">
        <f>IF(OR(L498="",N(J498)&lt;=0),"",L498/J498)</f>
        <v/>
      </c>
      <c r="N498" s="11">
        <f>IF(L498="","",IF(L498&gt;0,"Win",IF(L498&lt;0,"Loss","Flat")))</f>
        <v/>
      </c>
      <c r="O498" s="9">
        <f>IF(L498="","",SUM($L$2:L498))</f>
        <v/>
      </c>
      <c r="P498" s="9">
        <f>IF(L498="","",MAX(0,MAX($O$2:O498)))</f>
        <v/>
      </c>
      <c r="Q498" s="9">
        <f>IF(L498="","",P498-O498)</f>
        <v/>
      </c>
      <c r="S498">
        <f>IF(N498="Win",N(S497)+1,0)</f>
        <v/>
      </c>
      <c r="T498">
        <f>IF(N498="Loss",N(T497)+1,0)</f>
        <v/>
      </c>
    </row>
    <row r="499">
      <c r="A499" s="5" t="n"/>
      <c r="B499" s="6" t="n"/>
      <c r="C499" s="6" t="n"/>
      <c r="D499" s="6" t="n"/>
      <c r="E499" s="7" t="n"/>
      <c r="F499" s="7" t="n"/>
      <c r="G499" s="6" t="n"/>
      <c r="H499" s="6" t="n"/>
      <c r="I499" s="7" t="n"/>
      <c r="J499" s="8" t="n"/>
      <c r="K499" s="6" t="n"/>
      <c r="L499" s="9">
        <f>IF(OR(E499="",F499=""),"",ROUND(IF(D499="Short",E499-F499,F499-E499)*G499*H499-I499,2))</f>
        <v/>
      </c>
      <c r="M499" s="10">
        <f>IF(OR(L499="",N(J499)&lt;=0),"",L499/J499)</f>
        <v/>
      </c>
      <c r="N499" s="11">
        <f>IF(L499="","",IF(L499&gt;0,"Win",IF(L499&lt;0,"Loss","Flat")))</f>
        <v/>
      </c>
      <c r="O499" s="9">
        <f>IF(L499="","",SUM($L$2:L499))</f>
        <v/>
      </c>
      <c r="P499" s="9">
        <f>IF(L499="","",MAX(0,MAX($O$2:O499)))</f>
        <v/>
      </c>
      <c r="Q499" s="9">
        <f>IF(L499="","",P499-O499)</f>
        <v/>
      </c>
      <c r="S499">
        <f>IF(N499="Win",N(S498)+1,0)</f>
        <v/>
      </c>
      <c r="T499">
        <f>IF(N499="Loss",N(T498)+1,0)</f>
        <v/>
      </c>
    </row>
    <row r="500">
      <c r="A500" s="5" t="n"/>
      <c r="B500" s="6" t="n"/>
      <c r="C500" s="6" t="n"/>
      <c r="D500" s="6" t="n"/>
      <c r="E500" s="7" t="n"/>
      <c r="F500" s="7" t="n"/>
      <c r="G500" s="6" t="n"/>
      <c r="H500" s="6" t="n"/>
      <c r="I500" s="7" t="n"/>
      <c r="J500" s="8" t="n"/>
      <c r="K500" s="6" t="n"/>
      <c r="L500" s="9">
        <f>IF(OR(E500="",F500=""),"",ROUND(IF(D500="Short",E500-F500,F500-E500)*G500*H500-I500,2))</f>
        <v/>
      </c>
      <c r="M500" s="10">
        <f>IF(OR(L500="",N(J500)&lt;=0),"",L500/J500)</f>
        <v/>
      </c>
      <c r="N500" s="11">
        <f>IF(L500="","",IF(L500&gt;0,"Win",IF(L500&lt;0,"Loss","Flat")))</f>
        <v/>
      </c>
      <c r="O500" s="9">
        <f>IF(L500="","",SUM($L$2:L500))</f>
        <v/>
      </c>
      <c r="P500" s="9">
        <f>IF(L500="","",MAX(0,MAX($O$2:O500)))</f>
        <v/>
      </c>
      <c r="Q500" s="9">
        <f>IF(L500="","",P500-O500)</f>
        <v/>
      </c>
      <c r="S500">
        <f>IF(N500="Win",N(S499)+1,0)</f>
        <v/>
      </c>
      <c r="T500">
        <f>IF(N500="Loss",N(T499)+1,0)</f>
        <v/>
      </c>
    </row>
    <row r="501">
      <c r="A501" s="5" t="n"/>
      <c r="B501" s="6" t="n"/>
      <c r="C501" s="6" t="n"/>
      <c r="D501" s="6" t="n"/>
      <c r="E501" s="7" t="n"/>
      <c r="F501" s="7" t="n"/>
      <c r="G501" s="6" t="n"/>
      <c r="H501" s="6" t="n"/>
      <c r="I501" s="7" t="n"/>
      <c r="J501" s="8" t="n"/>
      <c r="K501" s="6" t="n"/>
      <c r="L501" s="9">
        <f>IF(OR(E501="",F501=""),"",ROUND(IF(D501="Short",E501-F501,F501-E501)*G501*H501-I501,2))</f>
        <v/>
      </c>
      <c r="M501" s="10">
        <f>IF(OR(L501="",N(J501)&lt;=0),"",L501/J501)</f>
        <v/>
      </c>
      <c r="N501" s="11">
        <f>IF(L501="","",IF(L501&gt;0,"Win",IF(L501&lt;0,"Loss","Flat")))</f>
        <v/>
      </c>
      <c r="O501" s="9">
        <f>IF(L501="","",SUM($L$2:L501))</f>
        <v/>
      </c>
      <c r="P501" s="9">
        <f>IF(L501="","",MAX(0,MAX($O$2:O501)))</f>
        <v/>
      </c>
      <c r="Q501" s="9">
        <f>IF(L501="","",P501-O501)</f>
        <v/>
      </c>
      <c r="S501">
        <f>IF(N501="Win",N(S500)+1,0)</f>
        <v/>
      </c>
      <c r="T501">
        <f>IF(N501="Loss",N(T500)+1,0)</f>
        <v/>
      </c>
    </row>
  </sheetData>
  <conditionalFormatting sqref="N2:N501">
    <cfRule type="cellIs" priority="1" operator="equal" dxfId="0">
      <formula>"Win"</formula>
    </cfRule>
    <cfRule type="cellIs" priority="2" operator="equal" dxfId="1">
      <formula>"Loss"</formula>
    </cfRule>
  </conditionalFormatting>
  <dataValidations count="1">
    <dataValidation sqref="D2:D501" showDropDown="0" showInputMessage="0" showErrorMessage="0" allowBlank="1" type="list">
      <formula1>"Long,Short"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2" t="inlineStr">
        <is>
          <t>Stats (all trades in the Journal)</t>
        </is>
      </c>
    </row>
    <row r="3">
      <c r="A3" s="13" t="inlineStr">
        <is>
          <t>Trades</t>
        </is>
      </c>
      <c r="B3" s="14">
        <f>COUNT(Journal!$L$2:$L$501)</f>
        <v/>
      </c>
      <c r="C3" s="15" t="inlineStr">
        <is>
          <t>Rows with an entry and exit price</t>
        </is>
      </c>
    </row>
    <row r="4">
      <c r="A4" s="13" t="inlineStr">
        <is>
          <t>Wins</t>
        </is>
      </c>
      <c r="B4" s="14">
        <f>COUNTIF(Journal!$N$2:$N$501,"Win")</f>
        <v/>
      </c>
      <c r="C4" s="15" t="inlineStr"/>
    </row>
    <row r="5">
      <c r="A5" s="13" t="inlineStr">
        <is>
          <t>Losses</t>
        </is>
      </c>
      <c r="B5" s="14">
        <f>COUNTIF(Journal!$N$2:$N$501,"Loss")</f>
        <v/>
      </c>
      <c r="C5" s="15" t="inlineStr"/>
    </row>
    <row r="6">
      <c r="A6" s="13" t="inlineStr">
        <is>
          <t>Win rate</t>
        </is>
      </c>
      <c r="B6" s="16">
        <f>IF(B3=0,"",B4/B3)</f>
        <v/>
      </c>
      <c r="C6" s="15" t="inlineStr">
        <is>
          <t>Wins divided by trades</t>
        </is>
      </c>
    </row>
    <row r="7">
      <c r="A7" s="13" t="inlineStr">
        <is>
          <t>Total P&amp;L ($)</t>
        </is>
      </c>
      <c r="B7" s="9">
        <f>SUM(Journal!$L$2:$L$501)</f>
        <v/>
      </c>
      <c r="C7" s="15" t="inlineStr">
        <is>
          <t>After fees</t>
        </is>
      </c>
    </row>
    <row r="8">
      <c r="A8" s="13" t="inlineStr">
        <is>
          <t>Average win ($)</t>
        </is>
      </c>
      <c r="B8" s="17">
        <f>IFERROR(AVERAGEIF(Journal!$L$2:$L$501,"&gt;0"),"")</f>
        <v/>
      </c>
      <c r="C8" s="15" t="inlineStr"/>
    </row>
    <row r="9">
      <c r="A9" s="13" t="inlineStr">
        <is>
          <t>Average loss ($)</t>
        </is>
      </c>
      <c r="B9" s="9">
        <f>IFERROR(AVERAGEIF(Journal!$L$2:$L$501,"&lt;0"),"")</f>
        <v/>
      </c>
      <c r="C9" s="15" t="inlineStr"/>
    </row>
    <row r="10">
      <c r="A10" s="13" t="inlineStr">
        <is>
          <t>Payoff ratio</t>
        </is>
      </c>
      <c r="B10" s="18">
        <f>IFERROR(B8/ABS(B9),"")</f>
        <v/>
      </c>
      <c r="C10" s="15" t="inlineStr">
        <is>
          <t>Average win divided by average loss</t>
        </is>
      </c>
    </row>
    <row r="11">
      <c r="A11" s="13" t="inlineStr">
        <is>
          <t>Expectancy per trade ($)</t>
        </is>
      </c>
      <c r="B11" s="9">
        <f>IF(B3=0,"",B7/B3)</f>
        <v/>
      </c>
      <c r="C11" s="15" t="inlineStr">
        <is>
          <t>Average P&amp;L per trade</t>
        </is>
      </c>
    </row>
    <row r="12">
      <c r="A12" s="13" t="inlineStr">
        <is>
          <t>Expectancy per trade (R)</t>
        </is>
      </c>
      <c r="B12" s="10">
        <f>IFERROR(AVERAGE(Journal!$M$2:$M$501),"")</f>
        <v/>
      </c>
      <c r="C12" s="15" t="inlineStr">
        <is>
          <t>Average R on trades that have planned risk</t>
        </is>
      </c>
    </row>
    <row r="13">
      <c r="A13" s="13" t="inlineStr">
        <is>
          <t>Profit factor</t>
        </is>
      </c>
      <c r="B13" s="18">
        <f>IFERROR(SUMIF(Journal!$L$2:$L$501,"&gt;0")/ABS(SUMIF(Journal!$L$2:$L$501,"&lt;0")),"")</f>
        <v/>
      </c>
      <c r="C13" s="15" t="inlineStr">
        <is>
          <t>Gross wins divided by gross losses (needs at least one loss)</t>
        </is>
      </c>
    </row>
    <row r="14">
      <c r="A14" s="13" t="inlineStr">
        <is>
          <t>Best trade ($)</t>
        </is>
      </c>
      <c r="B14" s="17">
        <f>IF(B3=0,"",MAX(Journal!$L$2:$L$501))</f>
        <v/>
      </c>
      <c r="C14" s="15" t="inlineStr"/>
    </row>
    <row r="15">
      <c r="A15" s="13" t="inlineStr">
        <is>
          <t>Worst trade ($)</t>
        </is>
      </c>
      <c r="B15" s="9">
        <f>IF(B3=0,"",MIN(Journal!$L$2:$L$501))</f>
        <v/>
      </c>
      <c r="C15" s="15" t="inlineStr"/>
    </row>
    <row r="16">
      <c r="A16" s="13" t="inlineStr">
        <is>
          <t>Max drawdown ($)</t>
        </is>
      </c>
      <c r="B16" s="17">
        <f>IF(B3=0,"",MAX(Journal!$Q$2:$Q$501))</f>
        <v/>
      </c>
      <c r="C16" s="15" t="inlineStr">
        <is>
          <t>Largest fall from a running-P&amp;L peak</t>
        </is>
      </c>
    </row>
    <row r="17">
      <c r="A17" s="13" t="inlineStr">
        <is>
          <t>Average planned risk ($)</t>
        </is>
      </c>
      <c r="B17" s="17">
        <f>IFERROR(AVERAGEIF(Journal!$J$2:$J$501,"&gt;0"),"")</f>
        <v/>
      </c>
      <c r="C17" s="15" t="inlineStr"/>
    </row>
    <row r="18">
      <c r="A18" s="13" t="inlineStr">
        <is>
          <t>Total fees paid ($)</t>
        </is>
      </c>
      <c r="B18" s="17">
        <f>SUM(Journal!$I$2:$I$501)</f>
        <v/>
      </c>
      <c r="C18" s="15" t="inlineStr"/>
    </row>
    <row r="21">
      <c r="A21" s="13" t="inlineStr">
        <is>
          <t>Longest win streak</t>
        </is>
      </c>
      <c r="B21" s="11">
        <f>MAX(Journal!$S$2:$S$501)</f>
        <v/>
      </c>
    </row>
    <row r="22">
      <c r="A22" s="13" t="inlineStr">
        <is>
          <t>Longest losing streak</t>
        </is>
      </c>
      <c r="B22" s="11">
        <f>MAX(Journal!$T$2:$T$501)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14" customWidth="1" min="5" max="5"/>
    <col width="14" customWidth="1" min="6" max="6"/>
  </cols>
  <sheetData>
    <row r="1">
      <c r="A1" s="19" t="inlineStr">
        <is>
          <t>Setup tag</t>
        </is>
      </c>
      <c r="B1" s="19" t="inlineStr">
        <is>
          <t>Trades</t>
        </is>
      </c>
      <c r="C1" s="19" t="inlineStr">
        <is>
          <t>Win rate</t>
        </is>
      </c>
      <c r="D1" s="19" t="inlineStr">
        <is>
          <t>Total P&amp;L ($)</t>
        </is>
      </c>
      <c r="E1" s="19" t="inlineStr">
        <is>
          <t>Expectancy ($)</t>
        </is>
      </c>
      <c r="F1" s="19" t="inlineStr">
        <is>
          <t>Expectancy (R)</t>
        </is>
      </c>
      <c r="H1" s="20" t="inlineStr">
        <is>
          <t>Type your setup tags in column A (same spelling as the Journal). Sample tags are filled in.</t>
        </is>
      </c>
    </row>
    <row r="2">
      <c r="A2" s="6" t="inlineStr">
        <is>
          <t>ORB</t>
        </is>
      </c>
      <c r="B2" s="11">
        <f>IF(A2="","",COUNTIFS(Journal!$C$2:$C$501,A2,Journal!$L$2:$L$501,"&lt;&gt;"))</f>
        <v/>
      </c>
      <c r="C2" s="16">
        <f>IF(OR(A2="",N(B2)=0),"",COUNTIFS(Journal!$C$2:$C$501,A2,Journal!$N$2:$N$501,"Win")/B2)</f>
        <v/>
      </c>
      <c r="D2" s="9">
        <f>IF(A2="","",SUMIFS(Journal!$L$2:$L$501,Journal!$C$2:$C$501,A2))</f>
        <v/>
      </c>
      <c r="E2" s="9">
        <f>IF(OR(A2="",N(B2)=0),"",D2/B2)</f>
        <v/>
      </c>
      <c r="F2" s="21">
        <f>IF(OR(A2="",N(B2)=0),"",IFERROR(AVERAGEIFS(Journal!$M$2:$M$501,Journal!$C$2:$C$501,A2),""))</f>
        <v/>
      </c>
    </row>
    <row r="3">
      <c r="A3" s="6" t="inlineStr">
        <is>
          <t>Reversal</t>
        </is>
      </c>
      <c r="B3" s="11">
        <f>IF(A3="","",COUNTIFS(Journal!$C$2:$C$501,A3,Journal!$L$2:$L$501,"&lt;&gt;"))</f>
        <v/>
      </c>
      <c r="C3" s="16">
        <f>IF(OR(A3="",N(B3)=0),"",COUNTIFS(Journal!$C$2:$C$501,A3,Journal!$N$2:$N$501,"Win")/B3)</f>
        <v/>
      </c>
      <c r="D3" s="9">
        <f>IF(A3="","",SUMIFS(Journal!$L$2:$L$501,Journal!$C$2:$C$501,A3))</f>
        <v/>
      </c>
      <c r="E3" s="9">
        <f>IF(OR(A3="",N(B3)=0),"",D3/B3)</f>
        <v/>
      </c>
      <c r="F3" s="21">
        <f>IF(OR(A3="",N(B3)=0),"",IFERROR(AVERAGEIFS(Journal!$M$2:$M$501,Journal!$C$2:$C$501,A3),""))</f>
        <v/>
      </c>
    </row>
    <row r="4">
      <c r="A4" s="6" t="inlineStr">
        <is>
          <t>Vertical</t>
        </is>
      </c>
      <c r="B4" s="11">
        <f>IF(A4="","",COUNTIFS(Journal!$C$2:$C$501,A4,Journal!$L$2:$L$501,"&lt;&gt;"))</f>
        <v/>
      </c>
      <c r="C4" s="16">
        <f>IF(OR(A4="",N(B4)=0),"",COUNTIFS(Journal!$C$2:$C$501,A4,Journal!$N$2:$N$501,"Win")/B4)</f>
        <v/>
      </c>
      <c r="D4" s="9">
        <f>IF(A4="","",SUMIFS(Journal!$L$2:$L$501,Journal!$C$2:$C$501,A4))</f>
        <v/>
      </c>
      <c r="E4" s="9">
        <f>IF(OR(A4="",N(B4)=0),"",D4/B4)</f>
        <v/>
      </c>
      <c r="F4" s="21">
        <f>IF(OR(A4="",N(B4)=0),"",IFERROR(AVERAGEIFS(Journal!$M$2:$M$501,Journal!$C$2:$C$501,A4),""))</f>
        <v/>
      </c>
    </row>
    <row r="5">
      <c r="A5" s="6" t="n"/>
      <c r="B5" s="11">
        <f>IF(A5="","",COUNTIFS(Journal!$C$2:$C$501,A5,Journal!$L$2:$L$501,"&lt;&gt;"))</f>
        <v/>
      </c>
      <c r="C5" s="16">
        <f>IF(OR(A5="",N(B5)=0),"",COUNTIFS(Journal!$C$2:$C$501,A5,Journal!$N$2:$N$501,"Win")/B5)</f>
        <v/>
      </c>
      <c r="D5" s="9">
        <f>IF(A5="","",SUMIFS(Journal!$L$2:$L$501,Journal!$C$2:$C$501,A5))</f>
        <v/>
      </c>
      <c r="E5" s="9">
        <f>IF(OR(A5="",N(B5)=0),"",D5/B5)</f>
        <v/>
      </c>
      <c r="F5" s="21">
        <f>IF(OR(A5="",N(B5)=0),"",IFERROR(AVERAGEIFS(Journal!$M$2:$M$501,Journal!$C$2:$C$501,A5),""))</f>
        <v/>
      </c>
    </row>
    <row r="6">
      <c r="A6" s="6" t="n"/>
      <c r="B6" s="11">
        <f>IF(A6="","",COUNTIFS(Journal!$C$2:$C$501,A6,Journal!$L$2:$L$501,"&lt;&gt;"))</f>
        <v/>
      </c>
      <c r="C6" s="16">
        <f>IF(OR(A6="",N(B6)=0),"",COUNTIFS(Journal!$C$2:$C$501,A6,Journal!$N$2:$N$501,"Win")/B6)</f>
        <v/>
      </c>
      <c r="D6" s="9">
        <f>IF(A6="","",SUMIFS(Journal!$L$2:$L$501,Journal!$C$2:$C$501,A6))</f>
        <v/>
      </c>
      <c r="E6" s="9">
        <f>IF(OR(A6="",N(B6)=0),"",D6/B6)</f>
        <v/>
      </c>
      <c r="F6" s="21">
        <f>IF(OR(A6="",N(B6)=0),"",IFERROR(AVERAGEIFS(Journal!$M$2:$M$501,Journal!$C$2:$C$501,A6),""))</f>
        <v/>
      </c>
    </row>
    <row r="7">
      <c r="A7" s="6" t="n"/>
      <c r="B7" s="11">
        <f>IF(A7="","",COUNTIFS(Journal!$C$2:$C$501,A7,Journal!$L$2:$L$501,"&lt;&gt;"))</f>
        <v/>
      </c>
      <c r="C7" s="16">
        <f>IF(OR(A7="",N(B7)=0),"",COUNTIFS(Journal!$C$2:$C$501,A7,Journal!$N$2:$N$501,"Win")/B7)</f>
        <v/>
      </c>
      <c r="D7" s="9">
        <f>IF(A7="","",SUMIFS(Journal!$L$2:$L$501,Journal!$C$2:$C$501,A7))</f>
        <v/>
      </c>
      <c r="E7" s="9">
        <f>IF(OR(A7="",N(B7)=0),"",D7/B7)</f>
        <v/>
      </c>
      <c r="F7" s="21">
        <f>IF(OR(A7="",N(B7)=0),"",IFERROR(AVERAGEIFS(Journal!$M$2:$M$501,Journal!$C$2:$C$501,A7),""))</f>
        <v/>
      </c>
    </row>
    <row r="8">
      <c r="A8" s="6" t="n"/>
      <c r="B8" s="11">
        <f>IF(A8="","",COUNTIFS(Journal!$C$2:$C$501,A8,Journal!$L$2:$L$501,"&lt;&gt;"))</f>
        <v/>
      </c>
      <c r="C8" s="16">
        <f>IF(OR(A8="",N(B8)=0),"",COUNTIFS(Journal!$C$2:$C$501,A8,Journal!$N$2:$N$501,"Win")/B8)</f>
        <v/>
      </c>
      <c r="D8" s="9">
        <f>IF(A8="","",SUMIFS(Journal!$L$2:$L$501,Journal!$C$2:$C$501,A8))</f>
        <v/>
      </c>
      <c r="E8" s="9">
        <f>IF(OR(A8="",N(B8)=0),"",D8/B8)</f>
        <v/>
      </c>
      <c r="F8" s="21">
        <f>IF(OR(A8="",N(B8)=0),"",IFERROR(AVERAGEIFS(Journal!$M$2:$M$501,Journal!$C$2:$C$501,A8),""))</f>
        <v/>
      </c>
    </row>
    <row r="9">
      <c r="A9" s="6" t="n"/>
      <c r="B9" s="11">
        <f>IF(A9="","",COUNTIFS(Journal!$C$2:$C$501,A9,Journal!$L$2:$L$501,"&lt;&gt;"))</f>
        <v/>
      </c>
      <c r="C9" s="16">
        <f>IF(OR(A9="",N(B9)=0),"",COUNTIFS(Journal!$C$2:$C$501,A9,Journal!$N$2:$N$501,"Win")/B9)</f>
        <v/>
      </c>
      <c r="D9" s="9">
        <f>IF(A9="","",SUMIFS(Journal!$L$2:$L$501,Journal!$C$2:$C$501,A9))</f>
        <v/>
      </c>
      <c r="E9" s="9">
        <f>IF(OR(A9="",N(B9)=0),"",D9/B9)</f>
        <v/>
      </c>
      <c r="F9" s="21">
        <f>IF(OR(A9="",N(B9)=0),"",IFERROR(AVERAGEIFS(Journal!$M$2:$M$501,Journal!$C$2:$C$501,A9),""))</f>
        <v/>
      </c>
    </row>
    <row r="10">
      <c r="A10" s="6" t="n"/>
      <c r="B10" s="11">
        <f>IF(A10="","",COUNTIFS(Journal!$C$2:$C$501,A10,Journal!$L$2:$L$501,"&lt;&gt;"))</f>
        <v/>
      </c>
      <c r="C10" s="16">
        <f>IF(OR(A10="",N(B10)=0),"",COUNTIFS(Journal!$C$2:$C$501,A10,Journal!$N$2:$N$501,"Win")/B10)</f>
        <v/>
      </c>
      <c r="D10" s="9">
        <f>IF(A10="","",SUMIFS(Journal!$L$2:$L$501,Journal!$C$2:$C$501,A10))</f>
        <v/>
      </c>
      <c r="E10" s="9">
        <f>IF(OR(A10="",N(B10)=0),"",D10/B10)</f>
        <v/>
      </c>
      <c r="F10" s="21">
        <f>IF(OR(A10="",N(B10)=0),"",IFERROR(AVERAGEIFS(Journal!$M$2:$M$501,Journal!$C$2:$C$501,A10),""))</f>
        <v/>
      </c>
    </row>
    <row r="11">
      <c r="A11" s="6" t="n"/>
      <c r="B11" s="11">
        <f>IF(A11="","",COUNTIFS(Journal!$C$2:$C$501,A11,Journal!$L$2:$L$501,"&lt;&gt;"))</f>
        <v/>
      </c>
      <c r="C11" s="16">
        <f>IF(OR(A11="",N(B11)=0),"",COUNTIFS(Journal!$C$2:$C$501,A11,Journal!$N$2:$N$501,"Win")/B11)</f>
        <v/>
      </c>
      <c r="D11" s="9">
        <f>IF(A11="","",SUMIFS(Journal!$L$2:$L$501,Journal!$C$2:$C$501,A11))</f>
        <v/>
      </c>
      <c r="E11" s="9">
        <f>IF(OR(A11="",N(B11)=0),"",D11/B11)</f>
        <v/>
      </c>
      <c r="F11" s="21">
        <f>IF(OR(A11="",N(B11)=0),"",IFERROR(AVERAGEIFS(Journal!$M$2:$M$501,Journal!$C$2:$C$501,A11),""))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3" t="inlineStr">
        <is>
          <t>Month to show (type the first day of the month):</t>
        </is>
      </c>
      <c r="E1" s="22" t="n">
        <v>46296</v>
      </c>
    </row>
    <row r="3">
      <c r="A3" s="23" t="inlineStr">
        <is>
          <t>Week of</t>
        </is>
      </c>
      <c r="B3" s="24" t="inlineStr">
        <is>
          <t>Mon</t>
        </is>
      </c>
      <c r="C3" s="24" t="inlineStr">
        <is>
          <t>Tue</t>
        </is>
      </c>
      <c r="D3" s="24" t="inlineStr">
        <is>
          <t>Wed</t>
        </is>
      </c>
      <c r="E3" s="24" t="inlineStr">
        <is>
          <t>Thu</t>
        </is>
      </c>
      <c r="F3" s="24" t="inlineStr">
        <is>
          <t>Fri</t>
        </is>
      </c>
      <c r="G3" s="23" t="inlineStr">
        <is>
          <t>Week total</t>
        </is>
      </c>
    </row>
    <row r="4">
      <c r="A4" s="25">
        <f>$E$1-WEEKDAY($E$1,3)+0</f>
        <v/>
      </c>
      <c r="B4" s="26">
        <f>IF(MONTH(($A4+0))=MONTH($E$1),DAY(($A4+0)),"")</f>
        <v/>
      </c>
      <c r="C4" s="26">
        <f>IF(MONTH(($A4+1))=MONTH($E$1),DAY(($A4+1)),"")</f>
        <v/>
      </c>
      <c r="D4" s="26">
        <f>IF(MONTH(($A4+2))=MONTH($E$1),DAY(($A4+2)),"")</f>
        <v/>
      </c>
      <c r="E4" s="26">
        <f>IF(MONTH(($A4+3))=MONTH($E$1),DAY(($A4+3)),"")</f>
        <v/>
      </c>
      <c r="F4" s="26">
        <f>IF(MONTH(($A4+4))=MONTH($E$1),DAY(($A4+4)),"")</f>
        <v/>
      </c>
    </row>
    <row r="5">
      <c r="B5" s="27">
        <f>IF(MONTH(($A4+0))&lt;&gt;MONTH($E$1),"",IF(COUNTIF(Journal!$A$2:$A$501,($A4+0))=0,"",SUMIFS(Journal!$L$2:$L$501,Journal!$A$2:$A$501,($A4+0))))</f>
        <v/>
      </c>
      <c r="C5" s="27">
        <f>IF(MONTH(($A4+1))&lt;&gt;MONTH($E$1),"",IF(COUNTIF(Journal!$A$2:$A$501,($A4+1))=0,"",SUMIFS(Journal!$L$2:$L$501,Journal!$A$2:$A$501,($A4+1))))</f>
        <v/>
      </c>
      <c r="D5" s="27">
        <f>IF(MONTH(($A4+2))&lt;&gt;MONTH($E$1),"",IF(COUNTIF(Journal!$A$2:$A$501,($A4+2))=0,"",SUMIFS(Journal!$L$2:$L$501,Journal!$A$2:$A$501,($A4+2))))</f>
        <v/>
      </c>
      <c r="E5" s="27">
        <f>IF(MONTH(($A4+3))&lt;&gt;MONTH($E$1),"",IF(COUNTIF(Journal!$A$2:$A$501,($A4+3))=0,"",SUMIFS(Journal!$L$2:$L$501,Journal!$A$2:$A$501,($A4+3))))</f>
        <v/>
      </c>
      <c r="F5" s="27">
        <f>IF(MONTH(($A4+4))&lt;&gt;MONTH($E$1),"",IF(COUNTIF(Journal!$A$2:$A$501,($A4+4))=0,"",SUMIFS(Journal!$L$2:$L$501,Journal!$A$2:$A$501,($A4+4))))</f>
        <v/>
      </c>
      <c r="G5" s="28">
        <f>IF(COUNT(B5:F5)=0,"",SUM(B5:F5))</f>
        <v/>
      </c>
    </row>
    <row r="6">
      <c r="A6" s="25">
        <f>$E$1-WEEKDAY($E$1,3)+7</f>
        <v/>
      </c>
      <c r="B6" s="26">
        <f>IF(MONTH(($A6+0))=MONTH($E$1),DAY(($A6+0)),"")</f>
        <v/>
      </c>
      <c r="C6" s="26">
        <f>IF(MONTH(($A6+1))=MONTH($E$1),DAY(($A6+1)),"")</f>
        <v/>
      </c>
      <c r="D6" s="26">
        <f>IF(MONTH(($A6+2))=MONTH($E$1),DAY(($A6+2)),"")</f>
        <v/>
      </c>
      <c r="E6" s="26">
        <f>IF(MONTH(($A6+3))=MONTH($E$1),DAY(($A6+3)),"")</f>
        <v/>
      </c>
      <c r="F6" s="26">
        <f>IF(MONTH(($A6+4))=MONTH($E$1),DAY(($A6+4)),"")</f>
        <v/>
      </c>
    </row>
    <row r="7">
      <c r="B7" s="27">
        <f>IF(MONTH(($A6+0))&lt;&gt;MONTH($E$1),"",IF(COUNTIF(Journal!$A$2:$A$501,($A6+0))=0,"",SUMIFS(Journal!$L$2:$L$501,Journal!$A$2:$A$501,($A6+0))))</f>
        <v/>
      </c>
      <c r="C7" s="27">
        <f>IF(MONTH(($A6+1))&lt;&gt;MONTH($E$1),"",IF(COUNTIF(Journal!$A$2:$A$501,($A6+1))=0,"",SUMIFS(Journal!$L$2:$L$501,Journal!$A$2:$A$501,($A6+1))))</f>
        <v/>
      </c>
      <c r="D7" s="27">
        <f>IF(MONTH(($A6+2))&lt;&gt;MONTH($E$1),"",IF(COUNTIF(Journal!$A$2:$A$501,($A6+2))=0,"",SUMIFS(Journal!$L$2:$L$501,Journal!$A$2:$A$501,($A6+2))))</f>
        <v/>
      </c>
      <c r="E7" s="27">
        <f>IF(MONTH(($A6+3))&lt;&gt;MONTH($E$1),"",IF(COUNTIF(Journal!$A$2:$A$501,($A6+3))=0,"",SUMIFS(Journal!$L$2:$L$501,Journal!$A$2:$A$501,($A6+3))))</f>
        <v/>
      </c>
      <c r="F7" s="27">
        <f>IF(MONTH(($A6+4))&lt;&gt;MONTH($E$1),"",IF(COUNTIF(Journal!$A$2:$A$501,($A6+4))=0,"",SUMIFS(Journal!$L$2:$L$501,Journal!$A$2:$A$501,($A6+4))))</f>
        <v/>
      </c>
      <c r="G7" s="28">
        <f>IF(COUNT(B7:F7)=0,"",SUM(B7:F7))</f>
        <v/>
      </c>
    </row>
    <row r="8">
      <c r="A8" s="25">
        <f>$E$1-WEEKDAY($E$1,3)+14</f>
        <v/>
      </c>
      <c r="B8" s="26">
        <f>IF(MONTH(($A8+0))=MONTH($E$1),DAY(($A8+0)),"")</f>
        <v/>
      </c>
      <c r="C8" s="26">
        <f>IF(MONTH(($A8+1))=MONTH($E$1),DAY(($A8+1)),"")</f>
        <v/>
      </c>
      <c r="D8" s="26">
        <f>IF(MONTH(($A8+2))=MONTH($E$1),DAY(($A8+2)),"")</f>
        <v/>
      </c>
      <c r="E8" s="26">
        <f>IF(MONTH(($A8+3))=MONTH($E$1),DAY(($A8+3)),"")</f>
        <v/>
      </c>
      <c r="F8" s="26">
        <f>IF(MONTH(($A8+4))=MONTH($E$1),DAY(($A8+4)),"")</f>
        <v/>
      </c>
    </row>
    <row r="9">
      <c r="B9" s="27">
        <f>IF(MONTH(($A8+0))&lt;&gt;MONTH($E$1),"",IF(COUNTIF(Journal!$A$2:$A$501,($A8+0))=0,"",SUMIFS(Journal!$L$2:$L$501,Journal!$A$2:$A$501,($A8+0))))</f>
        <v/>
      </c>
      <c r="C9" s="27">
        <f>IF(MONTH(($A8+1))&lt;&gt;MONTH($E$1),"",IF(COUNTIF(Journal!$A$2:$A$501,($A8+1))=0,"",SUMIFS(Journal!$L$2:$L$501,Journal!$A$2:$A$501,($A8+1))))</f>
        <v/>
      </c>
      <c r="D9" s="27">
        <f>IF(MONTH(($A8+2))&lt;&gt;MONTH($E$1),"",IF(COUNTIF(Journal!$A$2:$A$501,($A8+2))=0,"",SUMIFS(Journal!$L$2:$L$501,Journal!$A$2:$A$501,($A8+2))))</f>
        <v/>
      </c>
      <c r="E9" s="27">
        <f>IF(MONTH(($A8+3))&lt;&gt;MONTH($E$1),"",IF(COUNTIF(Journal!$A$2:$A$501,($A8+3))=0,"",SUMIFS(Journal!$L$2:$L$501,Journal!$A$2:$A$501,($A8+3))))</f>
        <v/>
      </c>
      <c r="F9" s="27">
        <f>IF(MONTH(($A8+4))&lt;&gt;MONTH($E$1),"",IF(COUNTIF(Journal!$A$2:$A$501,($A8+4))=0,"",SUMIFS(Journal!$L$2:$L$501,Journal!$A$2:$A$501,($A8+4))))</f>
        <v/>
      </c>
      <c r="G9" s="28">
        <f>IF(COUNT(B9:F9)=0,"",SUM(B9:F9))</f>
        <v/>
      </c>
    </row>
    <row r="10">
      <c r="A10" s="25">
        <f>$E$1-WEEKDAY($E$1,3)+21</f>
        <v/>
      </c>
      <c r="B10" s="26">
        <f>IF(MONTH(($A10+0))=MONTH($E$1),DAY(($A10+0)),"")</f>
        <v/>
      </c>
      <c r="C10" s="26">
        <f>IF(MONTH(($A10+1))=MONTH($E$1),DAY(($A10+1)),"")</f>
        <v/>
      </c>
      <c r="D10" s="26">
        <f>IF(MONTH(($A10+2))=MONTH($E$1),DAY(($A10+2)),"")</f>
        <v/>
      </c>
      <c r="E10" s="26">
        <f>IF(MONTH(($A10+3))=MONTH($E$1),DAY(($A10+3)),"")</f>
        <v/>
      </c>
      <c r="F10" s="26">
        <f>IF(MONTH(($A10+4))=MONTH($E$1),DAY(($A10+4)),"")</f>
        <v/>
      </c>
    </row>
    <row r="11">
      <c r="B11" s="27">
        <f>IF(MONTH(($A10+0))&lt;&gt;MONTH($E$1),"",IF(COUNTIF(Journal!$A$2:$A$501,($A10+0))=0,"",SUMIFS(Journal!$L$2:$L$501,Journal!$A$2:$A$501,($A10+0))))</f>
        <v/>
      </c>
      <c r="C11" s="27">
        <f>IF(MONTH(($A10+1))&lt;&gt;MONTH($E$1),"",IF(COUNTIF(Journal!$A$2:$A$501,($A10+1))=0,"",SUMIFS(Journal!$L$2:$L$501,Journal!$A$2:$A$501,($A10+1))))</f>
        <v/>
      </c>
      <c r="D11" s="27">
        <f>IF(MONTH(($A10+2))&lt;&gt;MONTH($E$1),"",IF(COUNTIF(Journal!$A$2:$A$501,($A10+2))=0,"",SUMIFS(Journal!$L$2:$L$501,Journal!$A$2:$A$501,($A10+2))))</f>
        <v/>
      </c>
      <c r="E11" s="27">
        <f>IF(MONTH(($A10+3))&lt;&gt;MONTH($E$1),"",IF(COUNTIF(Journal!$A$2:$A$501,($A10+3))=0,"",SUMIFS(Journal!$L$2:$L$501,Journal!$A$2:$A$501,($A10+3))))</f>
        <v/>
      </c>
      <c r="F11" s="27">
        <f>IF(MONTH(($A10+4))&lt;&gt;MONTH($E$1),"",IF(COUNTIF(Journal!$A$2:$A$501,($A10+4))=0,"",SUMIFS(Journal!$L$2:$L$501,Journal!$A$2:$A$501,($A10+4))))</f>
        <v/>
      </c>
      <c r="G11" s="28">
        <f>IF(COUNT(B11:F11)=0,"",SUM(B11:F11))</f>
        <v/>
      </c>
    </row>
    <row r="12">
      <c r="A12" s="25">
        <f>$E$1-WEEKDAY($E$1,3)+28</f>
        <v/>
      </c>
      <c r="B12" s="26">
        <f>IF(MONTH(($A12+0))=MONTH($E$1),DAY(($A12+0)),"")</f>
        <v/>
      </c>
      <c r="C12" s="26">
        <f>IF(MONTH(($A12+1))=MONTH($E$1),DAY(($A12+1)),"")</f>
        <v/>
      </c>
      <c r="D12" s="26">
        <f>IF(MONTH(($A12+2))=MONTH($E$1),DAY(($A12+2)),"")</f>
        <v/>
      </c>
      <c r="E12" s="26">
        <f>IF(MONTH(($A12+3))=MONTH($E$1),DAY(($A12+3)),"")</f>
        <v/>
      </c>
      <c r="F12" s="26">
        <f>IF(MONTH(($A12+4))=MONTH($E$1),DAY(($A12+4)),"")</f>
        <v/>
      </c>
    </row>
    <row r="13">
      <c r="B13" s="27">
        <f>IF(MONTH(($A12+0))&lt;&gt;MONTH($E$1),"",IF(COUNTIF(Journal!$A$2:$A$501,($A12+0))=0,"",SUMIFS(Journal!$L$2:$L$501,Journal!$A$2:$A$501,($A12+0))))</f>
        <v/>
      </c>
      <c r="C13" s="27">
        <f>IF(MONTH(($A12+1))&lt;&gt;MONTH($E$1),"",IF(COUNTIF(Journal!$A$2:$A$501,($A12+1))=0,"",SUMIFS(Journal!$L$2:$L$501,Journal!$A$2:$A$501,($A12+1))))</f>
        <v/>
      </c>
      <c r="D13" s="27">
        <f>IF(MONTH(($A12+2))&lt;&gt;MONTH($E$1),"",IF(COUNTIF(Journal!$A$2:$A$501,($A12+2))=0,"",SUMIFS(Journal!$L$2:$L$501,Journal!$A$2:$A$501,($A12+2))))</f>
        <v/>
      </c>
      <c r="E13" s="27">
        <f>IF(MONTH(($A12+3))&lt;&gt;MONTH($E$1),"",IF(COUNTIF(Journal!$A$2:$A$501,($A12+3))=0,"",SUMIFS(Journal!$L$2:$L$501,Journal!$A$2:$A$501,($A12+3))))</f>
        <v/>
      </c>
      <c r="F13" s="27">
        <f>IF(MONTH(($A12+4))&lt;&gt;MONTH($E$1),"",IF(COUNTIF(Journal!$A$2:$A$501,($A12+4))=0,"",SUMIFS(Journal!$L$2:$L$501,Journal!$A$2:$A$501,($A12+4))))</f>
        <v/>
      </c>
      <c r="G13" s="28">
        <f>IF(COUNT(B13:F13)=0,"",SUM(B13:F13))</f>
        <v/>
      </c>
    </row>
    <row r="14">
      <c r="A14" s="25">
        <f>$E$1-WEEKDAY($E$1,3)+35</f>
        <v/>
      </c>
      <c r="B14" s="26">
        <f>IF(MONTH(($A14+0))=MONTH($E$1),DAY(($A14+0)),"")</f>
        <v/>
      </c>
      <c r="C14" s="26">
        <f>IF(MONTH(($A14+1))=MONTH($E$1),DAY(($A14+1)),"")</f>
        <v/>
      </c>
      <c r="D14" s="26">
        <f>IF(MONTH(($A14+2))=MONTH($E$1),DAY(($A14+2)),"")</f>
        <v/>
      </c>
      <c r="E14" s="26">
        <f>IF(MONTH(($A14+3))=MONTH($E$1),DAY(($A14+3)),"")</f>
        <v/>
      </c>
      <c r="F14" s="26">
        <f>IF(MONTH(($A14+4))=MONTH($E$1),DAY(($A14+4)),"")</f>
        <v/>
      </c>
    </row>
    <row r="15">
      <c r="B15" s="27">
        <f>IF(MONTH(($A14+0))&lt;&gt;MONTH($E$1),"",IF(COUNTIF(Journal!$A$2:$A$501,($A14+0))=0,"",SUMIFS(Journal!$L$2:$L$501,Journal!$A$2:$A$501,($A14+0))))</f>
        <v/>
      </c>
      <c r="C15" s="27">
        <f>IF(MONTH(($A14+1))&lt;&gt;MONTH($E$1),"",IF(COUNTIF(Journal!$A$2:$A$501,($A14+1))=0,"",SUMIFS(Journal!$L$2:$L$501,Journal!$A$2:$A$501,($A14+1))))</f>
        <v/>
      </c>
      <c r="D15" s="27">
        <f>IF(MONTH(($A14+2))&lt;&gt;MONTH($E$1),"",IF(COUNTIF(Journal!$A$2:$A$501,($A14+2))=0,"",SUMIFS(Journal!$L$2:$L$501,Journal!$A$2:$A$501,($A14+2))))</f>
        <v/>
      </c>
      <c r="E15" s="27">
        <f>IF(MONTH(($A14+3))&lt;&gt;MONTH($E$1),"",IF(COUNTIF(Journal!$A$2:$A$501,($A14+3))=0,"",SUMIFS(Journal!$L$2:$L$501,Journal!$A$2:$A$501,($A14+3))))</f>
        <v/>
      </c>
      <c r="F15" s="27">
        <f>IF(MONTH(($A14+4))&lt;&gt;MONTH($E$1),"",IF(COUNTIF(Journal!$A$2:$A$501,($A14+4))=0,"",SUMIFS(Journal!$L$2:$L$501,Journal!$A$2:$A$501,($A14+4))))</f>
        <v/>
      </c>
      <c r="G15" s="28">
        <f>IF(COUNT(B15:F15)=0,"",SUM(B15:F15))</f>
        <v/>
      </c>
    </row>
    <row r="17">
      <c r="A17" s="13" t="inlineStr">
        <is>
          <t>Month total ($)</t>
        </is>
      </c>
      <c r="B17" s="29">
        <f>SUM(G5,G7,G9,G11,G13,G15)</f>
        <v/>
      </c>
    </row>
    <row r="18">
      <c r="A18" s="13" t="inlineStr">
        <is>
          <t>Green days / red days</t>
        </is>
      </c>
      <c r="B18">
        <f>COUNTIF(B5:F5,"&gt;0")+COUNTIF(B7:F7,"&gt;0")+COUNTIF(B9:F9,"&gt;0")+COUNTIF(B11:F11,"&gt;0")+COUNTIF(B13:F13,"&gt;0")+COUNTIF(B15:F15,"&gt;0")</f>
        <v/>
      </c>
      <c r="C18">
        <f>COUNTIF(B5:F5,"&lt;0")+COUNTIF(B7:F7,"&lt;0")+COUNTIF(B9:F9,"&lt;0")+COUNTIF(B11:F11,"&lt;0")+COUNTIF(B13:F13,"&lt;0")+COUNTIF(B15:F15,"&lt;0")</f>
        <v/>
      </c>
    </row>
    <row r="19">
      <c r="A19" s="15" t="inlineStr">
        <is>
          <t>Weekend trades are not shown (US options trade Mon-Fri).</t>
        </is>
      </c>
    </row>
  </sheetData>
  <conditionalFormatting sqref="B5:F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7:F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9:F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B11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B13:F13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B15:F15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2026-10-28T20:43:33Z</dcterms:created>
  <dcterms:modified xmlns:dcterms="http://purl.org/dc/terms/" xmlns:xsi="http://www.w3.org/2001/XMLSchema-instance" xsi:type="dcterms:W3CDTF">2026-10-28T20:43:33Z</dcterms:modified>
</cp:coreProperties>
</file>