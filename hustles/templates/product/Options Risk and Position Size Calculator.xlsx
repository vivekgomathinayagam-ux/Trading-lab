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Account" sheetId="2" state="visible" r:id="rId2"/>
    <sheet xmlns:r="http://schemas.openxmlformats.org/officeDocument/2006/relationships" name="Long option" sheetId="3" state="visible" r:id="rId3"/>
    <sheet xmlns:r="http://schemas.openxmlformats.org/officeDocument/2006/relationships" name="Vertical sprea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1F2A44"/>
      <sz val="18"/>
    </font>
    <font>
      <color rgb="00000000"/>
      <sz val="11"/>
    </font>
    <font>
      <b val="1"/>
      <color rgb="001F2A44"/>
      <sz val="13"/>
    </font>
    <font>
      <b val="1"/>
      <color rgb="001F2A44"/>
      <sz val="15"/>
    </font>
    <font>
      <b val="1"/>
    </font>
    <font>
      <i val="1"/>
      <color rgb="00667085"/>
    </font>
    <font>
      <b val="1"/>
      <color rgb="001F2A44"/>
      <sz val="12"/>
    </font>
  </fonts>
  <fills count="4">
    <fill>
      <patternFill/>
    </fill>
    <fill>
      <patternFill patternType="gray125"/>
    </fill>
    <fill>
      <patternFill patternType="solid">
        <fgColor rgb="00FFF8DC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0" borderId="0" pivotButton="0" quotePrefix="0" xfId="0"/>
    <xf numFmtId="164" fontId="0" fillId="2" borderId="1" pivotButton="0" quotePrefix="0" xfId="0"/>
    <xf numFmtId="0" fontId="6" fillId="0" borderId="0" pivotButton="0" quotePrefix="0" xfId="0"/>
    <xf numFmtId="165" fontId="0" fillId="2" borderId="1" pivotButton="0" quotePrefix="0" xfId="0"/>
    <xf numFmtId="164" fontId="0" fillId="3" borderId="1" pivotButton="0" quotePrefix="0" xfId="0"/>
    <xf numFmtId="1" fontId="0" fillId="3" borderId="1" pivotButton="0" quotePrefix="0" xfId="0"/>
    <xf numFmtId="0" fontId="7" fillId="0" borderId="0" pivotButton="0" quotePrefix="0" xfId="0"/>
    <xf numFmtId="0" fontId="0" fillId="3" borderId="1" pivotButton="0" quotePrefix="0" xfId="0"/>
    <xf numFmtId="2" fontId="0" fillId="2" borderId="1" pivotButton="0" quotePrefix="0" xfId="0"/>
    <xf numFmtId="1" fontId="0" fillId="2" borderId="1" pivotButton="0" quotePrefix="0" xfId="0"/>
    <xf numFmtId="0" fontId="0" fillId="2" borderId="1" pivotButton="0" quotePrefix="0" xfId="0"/>
    <xf numFmtId="2" fontId="0" fillId="3" borderId="1" pivotButton="0" quotePrefix="0" xfId="0"/>
    <xf numFmtId="1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2">
      <c r="B2" s="1" t="inlineStr">
        <is>
          <t>Options Risk &amp; Position Size Calculator</t>
        </is>
      </c>
    </row>
    <row r="3">
      <c r="B3" s="2" t="inlineStr">
        <is>
          <t>Work out the maximum loss, breakeven and position size of a trade before you place it.</t>
        </is>
      </c>
    </row>
    <row r="4">
      <c r="B4" s="2" t="inlineStr"/>
    </row>
    <row r="5">
      <c r="B5" s="3" t="inlineStr">
        <is>
          <t>How to use it</t>
        </is>
      </c>
    </row>
    <row r="6">
      <c r="B6" s="2" t="inlineStr">
        <is>
          <t>1. 'Account' tab: type your account size and the percent of it you allow yourself to lose on one trade. Yellow cells are inputs.</t>
        </is>
      </c>
    </row>
    <row r="7">
      <c r="B7" s="2" t="inlineStr">
        <is>
          <t>2. 'Long option' tab: enter the premium and contracts for a single call or put.</t>
        </is>
      </c>
    </row>
    <row r="8">
      <c r="B8" s="2" t="inlineStr">
        <is>
          <t>3. 'Vertical spread' tab: enter strikes and the net debit or credit for a debit or credit spread.</t>
        </is>
      </c>
    </row>
    <row r="9">
      <c r="B9" s="2" t="inlineStr">
        <is>
          <t>4. Each tab tells you whether the trade fits your risk limit and the most contracts that would.</t>
        </is>
      </c>
    </row>
    <row r="10">
      <c r="B10" s="2" t="inlineStr">
        <is>
          <t>5. Prices are per share, as quoted (an option quoted at 1.25 costs $125 per contract). Multiplier is 100.</t>
        </is>
      </c>
    </row>
    <row r="11">
      <c r="B11" s="2" t="inlineStr"/>
    </row>
    <row r="12">
      <c r="B12" s="3" t="inlineStr">
        <is>
          <t>Please read</t>
        </is>
      </c>
    </row>
    <row r="13">
      <c r="B13" s="2" t="inlineStr">
        <is>
          <t>This is arithmetic, not advice or a signal. It uses the numbers you type and cannot know fills, slippage, assignment or early-exercise risk.</t>
        </is>
      </c>
    </row>
    <row r="14">
      <c r="B14" s="2" t="inlineStr">
        <is>
          <t>Max-loss figures assume you hold to expiry or exit at zero; real exits are usually better, but gaps can be worse for shares you end up holding.</t>
        </is>
      </c>
    </row>
    <row r="15">
      <c r="B15" s="2" t="inlineStr">
        <is>
          <t>Trading options involves risk of loss. Built with AI assistance (Claude) and tested by recalculating every formula.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62" customWidth="1" min="3" max="3"/>
  </cols>
  <sheetData>
    <row r="1">
      <c r="A1" s="4" t="inlineStr">
        <is>
          <t>Your account and risk limit</t>
        </is>
      </c>
    </row>
    <row r="3">
      <c r="A3" s="5" t="inlineStr">
        <is>
          <t>Account size ($)</t>
        </is>
      </c>
      <c r="B3" s="6" t="n">
        <v>5000</v>
      </c>
      <c r="C3" s="7" t="inlineStr"/>
    </row>
    <row r="4">
      <c r="A4" s="5" t="inlineStr">
        <is>
          <t>Max loss per trade (% of account)</t>
        </is>
      </c>
      <c r="B4" s="8" t="n">
        <v>0.05</v>
      </c>
      <c r="C4" s="7" t="inlineStr">
        <is>
          <t>Example: 5% means you will not risk more than 5% on one trade</t>
        </is>
      </c>
    </row>
    <row r="5">
      <c r="A5" s="5" t="inlineStr">
        <is>
          <t>Max loss per trade ($)</t>
        </is>
      </c>
      <c r="B5" s="9">
        <f>B3*B4</f>
        <v/>
      </c>
      <c r="C5" s="7" t="inlineStr">
        <is>
          <t>Account size times the percent</t>
        </is>
      </c>
    </row>
    <row r="6">
      <c r="A6" s="5" t="inlineStr">
        <is>
          <t>Max loss per day (% of account)</t>
        </is>
      </c>
      <c r="B6" s="8" t="n">
        <v>0.1</v>
      </c>
      <c r="C6" s="7" t="inlineStr">
        <is>
          <t>Optional: your stop-for-the-day level</t>
        </is>
      </c>
    </row>
    <row r="7">
      <c r="A7" s="5" t="inlineStr">
        <is>
          <t>Max loss per day ($)</t>
        </is>
      </c>
      <c r="B7" s="9">
        <f>B3*B6</f>
        <v/>
      </c>
      <c r="C7" s="7" t="inlineStr"/>
    </row>
    <row r="8">
      <c r="A8" s="5" t="inlineStr">
        <is>
          <t>Trades you could lose in a row before the daily limit</t>
        </is>
      </c>
      <c r="B8" s="10">
        <f>IF(B5=0,"",ROUNDDOWN(B7/B5,0))</f>
        <v/>
      </c>
      <c r="C8" s="7" t="inlineStr">
        <is>
          <t>If every trade lost its full max</t>
        </is>
      </c>
    </row>
    <row r="10">
      <c r="A10" s="11" t="inlineStr">
        <is>
          <t>Position size for any trade</t>
        </is>
      </c>
    </row>
    <row r="11">
      <c r="A11" s="5" t="inlineStr">
        <is>
          <t>Max loss per contract ($)</t>
        </is>
      </c>
      <c r="B11" s="6" t="n">
        <v>50</v>
      </c>
      <c r="C11" s="7" t="inlineStr">
        <is>
          <t>From the other tabs, or type your own</t>
        </is>
      </c>
    </row>
    <row r="12">
      <c r="A12" s="5" t="inlineStr">
        <is>
          <t>Contracts allowed</t>
        </is>
      </c>
      <c r="B12" s="10">
        <f>IF(B11&lt;=0,"",ROUNDDOWN(B5/B11,0))</f>
        <v/>
      </c>
      <c r="C12" s="7" t="inlineStr">
        <is>
          <t>Whole contracts only</t>
        </is>
      </c>
    </row>
    <row r="13">
      <c r="A13" s="5" t="inlineStr">
        <is>
          <t>Result</t>
        </is>
      </c>
      <c r="B13" s="12">
        <f>IF(B12="","",IF(B12=0,"Too big for your limit: even 1 contract risks more than "&amp;TEXT(B5,"$#,##0.00"),B12&amp;" contract(s) fit"))</f>
        <v/>
      </c>
      <c r="C13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62" customWidth="1" min="3" max="3"/>
  </cols>
  <sheetData>
    <row r="1">
      <c r="A1" s="4" t="inlineStr">
        <is>
          <t>Long call or put</t>
        </is>
      </c>
    </row>
    <row r="3">
      <c r="A3" s="5" t="inlineStr">
        <is>
          <t>Premium paid per share ($)</t>
        </is>
      </c>
      <c r="B3" s="13" t="n">
        <v>1.25</v>
      </c>
      <c r="C3" s="7" t="inlineStr">
        <is>
          <t>The price you pay, as quoted</t>
        </is>
      </c>
    </row>
    <row r="4">
      <c r="A4" s="5" t="inlineStr">
        <is>
          <t>Contracts</t>
        </is>
      </c>
      <c r="B4" s="14" t="n">
        <v>2</v>
      </c>
      <c r="C4" s="7" t="inlineStr"/>
    </row>
    <row r="5">
      <c r="A5" s="5" t="inlineStr">
        <is>
          <t>Multiplier</t>
        </is>
      </c>
      <c r="B5" s="14" t="n">
        <v>100</v>
      </c>
      <c r="C5" s="7" t="inlineStr">
        <is>
          <t>100 for US stock options</t>
        </is>
      </c>
    </row>
    <row r="6">
      <c r="A6" s="5" t="inlineStr">
        <is>
          <t>Fees, round trip ($)</t>
        </is>
      </c>
      <c r="B6" s="6" t="n">
        <v>2</v>
      </c>
      <c r="C6" s="7" t="inlineStr"/>
    </row>
    <row r="7">
      <c r="A7" s="5" t="inlineStr">
        <is>
          <t>Call or put</t>
        </is>
      </c>
      <c r="B7" s="15" t="inlineStr">
        <is>
          <t>Call</t>
        </is>
      </c>
      <c r="C7" s="7" t="inlineStr"/>
    </row>
    <row r="8">
      <c r="A8" s="5" t="inlineStr">
        <is>
          <t>Strike</t>
        </is>
      </c>
      <c r="B8" s="13" t="n">
        <v>500</v>
      </c>
      <c r="C8" s="7" t="inlineStr"/>
    </row>
    <row r="10">
      <c r="A10" s="11" t="inlineStr">
        <is>
          <t>Results</t>
        </is>
      </c>
    </row>
    <row r="11">
      <c r="A11" s="5" t="inlineStr">
        <is>
          <t>Cost / max loss ($)</t>
        </is>
      </c>
      <c r="B11" s="9">
        <f>B3*B4*B5+B6</f>
        <v/>
      </c>
      <c r="C11" s="7" t="inlineStr">
        <is>
          <t>You can lose the premium plus fees, no more</t>
        </is>
      </c>
    </row>
    <row r="12">
      <c r="A12" s="5" t="inlineStr">
        <is>
          <t>Max loss per contract ($)</t>
        </is>
      </c>
      <c r="B12" s="9">
        <f>B3*B5+IF(B4=0,0,B6/B4)</f>
        <v/>
      </c>
      <c r="C12" s="7" t="inlineStr"/>
    </row>
    <row r="13">
      <c r="A13" s="5" t="inlineStr">
        <is>
          <t>Breakeven at expiry</t>
        </is>
      </c>
      <c r="B13" s="16">
        <f>IF(B7="Call",B8+B3+IF(B4*B5=0,0,B6/(B4*B5)),B8-B3-IF(B4*B5=0,0,B6/(B4*B5)))</f>
        <v/>
      </c>
      <c r="C13" s="7" t="inlineStr"/>
    </row>
    <row r="14">
      <c r="A14" s="5" t="inlineStr">
        <is>
          <t>Max profit</t>
        </is>
      </c>
      <c r="B14" s="9">
        <f>IF(B7="Call","Unlimited",(B8-B3)*B4*B5-B6)</f>
        <v/>
      </c>
      <c r="C14" s="7" t="inlineStr">
        <is>
          <t>Put: strike minus premium, if the stock goes to zero</t>
        </is>
      </c>
    </row>
    <row r="15">
      <c r="A15" s="5" t="inlineStr">
        <is>
          <t>Move needed to break even (%)</t>
        </is>
      </c>
      <c r="B15" s="17">
        <f>IF(B8=0,"",ABS(B13-B8)/B8)</f>
        <v/>
      </c>
      <c r="C15" s="7" t="inlineStr">
        <is>
          <t>From the strike, as a share of the strike</t>
        </is>
      </c>
    </row>
    <row r="16">
      <c r="A16" s="5" t="inlineStr">
        <is>
          <t>Fits your risk limit?</t>
        </is>
      </c>
      <c r="B16" s="12">
        <f>IF(B11&lt;=Account!B5,"Yes","No: max loss "&amp;TEXT(B11,"$#,##0.00")&amp;" is above your limit of "&amp;TEXT(Account!B5,"$#,##0.00"))</f>
        <v/>
      </c>
      <c r="C16" s="7" t="inlineStr"/>
    </row>
    <row r="17">
      <c r="A17" s="5" t="inlineStr">
        <is>
          <t>Most contracts that fit</t>
        </is>
      </c>
      <c r="B17" s="10">
        <f>IF(B12&lt;=0,"",ROUNDDOWN(Account!B5/B12,0))</f>
        <v/>
      </c>
      <c r="C17" s="7" t="inlineStr"/>
    </row>
  </sheetData>
  <dataValidations count="1">
    <dataValidation sqref="B7" showDropDown="0" showInputMessage="0" showErrorMessage="0" allowBlank="0" type="list">
      <formula1>"Call,Put"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62" customWidth="1" min="3" max="3"/>
  </cols>
  <sheetData>
    <row r="1">
      <c r="A1" s="4" t="inlineStr">
        <is>
          <t>Vertical spread (debit or credit)</t>
        </is>
      </c>
    </row>
    <row r="3">
      <c r="A3" s="5" t="inlineStr">
        <is>
          <t>Type</t>
        </is>
      </c>
      <c r="B3" s="15" t="inlineStr">
        <is>
          <t>Bull call (debit)</t>
        </is>
      </c>
      <c r="C3" s="7" t="inlineStr">
        <is>
          <t>Pick from the list</t>
        </is>
      </c>
    </row>
    <row r="4">
      <c r="A4" s="5" t="inlineStr">
        <is>
          <t>Lower strike</t>
        </is>
      </c>
      <c r="B4" s="13" t="n">
        <v>500</v>
      </c>
      <c r="C4" s="7" t="inlineStr"/>
    </row>
    <row r="5">
      <c r="A5" s="5" t="inlineStr">
        <is>
          <t>Higher strike</t>
        </is>
      </c>
      <c r="B5" s="13" t="n">
        <v>505</v>
      </c>
      <c r="C5" s="7" t="inlineStr"/>
    </row>
    <row r="6">
      <c r="A6" s="5" t="inlineStr">
        <is>
          <t>Net price per share ($)</t>
        </is>
      </c>
      <c r="B6" s="13" t="n">
        <v>2.1</v>
      </c>
      <c r="C6" s="7" t="inlineStr">
        <is>
          <t>Debit you pay, or credit you receive, as quoted</t>
        </is>
      </c>
    </row>
    <row r="7">
      <c r="A7" s="5" t="inlineStr">
        <is>
          <t>Contracts</t>
        </is>
      </c>
      <c r="B7" s="14" t="n">
        <v>1</v>
      </c>
      <c r="C7" s="7" t="inlineStr"/>
    </row>
    <row r="8">
      <c r="A8" s="5" t="inlineStr">
        <is>
          <t>Multiplier</t>
        </is>
      </c>
      <c r="B8" s="14" t="n">
        <v>100</v>
      </c>
      <c r="C8" s="7" t="inlineStr"/>
    </row>
    <row r="9">
      <c r="A9" s="5" t="inlineStr">
        <is>
          <t>Fees, round trip ($)</t>
        </is>
      </c>
      <c r="B9" s="6" t="n">
        <v>2</v>
      </c>
      <c r="C9" s="7" t="inlineStr"/>
    </row>
    <row r="11">
      <c r="A11" s="11" t="inlineStr">
        <is>
          <t>Results</t>
        </is>
      </c>
    </row>
    <row r="12">
      <c r="A12" s="5" t="inlineStr">
        <is>
          <t>Width ($ per share)</t>
        </is>
      </c>
      <c r="B12" s="16">
        <f>B5-B4</f>
        <v/>
      </c>
      <c r="C12" s="7" t="inlineStr"/>
    </row>
    <row r="13">
      <c r="A13" s="5" t="inlineStr">
        <is>
          <t>Debit or credit?</t>
        </is>
      </c>
      <c r="B13" s="12">
        <f>IF(RIGHT(B3,7)="(debit)","Debit","Credit")</f>
        <v/>
      </c>
      <c r="C13" s="7" t="inlineStr"/>
    </row>
    <row r="14">
      <c r="A14" s="5" t="inlineStr">
        <is>
          <t>Max loss ($)</t>
        </is>
      </c>
      <c r="B14" s="9">
        <f>IF(B13="Debit",B6*B7*B8+B9,(B12-B6)*B7*B8+B9)</f>
        <v/>
      </c>
      <c r="C14" s="7" t="inlineStr">
        <is>
          <t>Debit: what you pay. Credit: width minus credit</t>
        </is>
      </c>
    </row>
    <row r="15">
      <c r="A15" s="5" t="inlineStr">
        <is>
          <t>Max profit ($)</t>
        </is>
      </c>
      <c r="B15" s="9">
        <f>IF(B13="Debit",(B12-B6)*B7*B8-B9,B6*B7*B8-B9)</f>
        <v/>
      </c>
      <c r="C15" s="7" t="inlineStr"/>
    </row>
    <row r="16">
      <c r="A16" s="5" t="inlineStr">
        <is>
          <t>Breakeven at expiry</t>
        </is>
      </c>
      <c r="B16" s="16">
        <f>IF(B3="Bull call (debit)",B4+B6,IF(B3="Bear put (debit)",B5-B6,IF(B3="Bull put (credit)",B5-B6,B4+B6)))</f>
        <v/>
      </c>
      <c r="C16" s="7" t="inlineStr">
        <is>
          <t>Before fees</t>
        </is>
      </c>
    </row>
    <row r="17">
      <c r="A17" s="5" t="inlineStr">
        <is>
          <t>Reward : risk</t>
        </is>
      </c>
      <c r="B17" s="16">
        <f>IF(B14=0,"",B15/B14)</f>
        <v/>
      </c>
      <c r="C17" s="7" t="inlineStr"/>
    </row>
    <row r="18">
      <c r="A18" s="5" t="inlineStr">
        <is>
          <t>Max loss per contract ($)</t>
        </is>
      </c>
      <c r="B18" s="9">
        <f>IF(B7=0,"",B14/B7)</f>
        <v/>
      </c>
      <c r="C18" s="7" t="inlineStr"/>
    </row>
    <row r="19">
      <c r="A19" s="5" t="inlineStr">
        <is>
          <t>Fits your risk limit?</t>
        </is>
      </c>
      <c r="B19" s="12">
        <f>IF(B14&lt;=Account!B5,"Yes","No: max loss "&amp;TEXT(B14,"$#,##0.00")&amp;" is above your limit of "&amp;TEXT(Account!B5,"$#,##0.00"))</f>
        <v/>
      </c>
      <c r="C19" s="7" t="inlineStr"/>
    </row>
    <row r="20">
      <c r="A20" s="5" t="inlineStr">
        <is>
          <t>Most contracts that fit</t>
        </is>
      </c>
      <c r="B20" s="10">
        <f>IF(N(B18)&lt;=0,"",ROUNDDOWN(Account!B5/B18,0))</f>
        <v/>
      </c>
      <c r="C20" s="7" t="inlineStr"/>
    </row>
    <row r="21">
      <c r="A21" s="5" t="inlineStr">
        <is>
          <t>Check on inputs</t>
        </is>
      </c>
      <c r="B21" s="12">
        <f>IF(B12&lt;=0,"Higher strike must be above lower strike",IF(AND(B13="Debit",B6&gt;=B12),"Debit is at or above width: no profit possible",IF(AND(B13="Credit",B6&gt;=B12),"Credit is at or above width: check the price","OK")))</f>
        <v/>
      </c>
      <c r="C21" s="7" t="inlineStr"/>
    </row>
  </sheetData>
  <dataValidations count="1">
    <dataValidation sqref="B3" showDropDown="0" showInputMessage="0" showErrorMessage="0" allowBlank="0" type="list">
      <formula1>"Bull call (debit),Bear put (debit),Bull put (credit),Bear call (credit)"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2026-10-27T15:48:21Z</dcterms:created>
  <dcterms:modified xmlns:dcterms="http://purl.org/dc/terms/" xmlns:xsi="http://www.w3.org/2001/XMLSchema-instance" xsi:type="dcterms:W3CDTF">2026-10-27T15:48:21Z</dcterms:modified>
</cp:coreProperties>
</file>