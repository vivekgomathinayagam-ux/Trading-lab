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re-Trade Checklist" sheetId="2" state="visible" r:id="rId2"/>
    <sheet xmlns:r="http://schemas.openxmlformats.org/officeDocument/2006/relationships" name="Daily Plan" sheetId="3" state="visible" r:id="rId3"/>
    <sheet xmlns:r="http://schemas.openxmlformats.org/officeDocument/2006/relationships" name="Weekly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;[Red]-$#,##0.00"/>
  </numFmts>
  <fonts count="8">
    <font>
      <name val="Calibri"/>
      <family val="2"/>
      <color theme="1"/>
      <sz val="11"/>
      <scheme val="minor"/>
    </font>
    <font>
      <b val="1"/>
      <color rgb="001F2A44"/>
      <sz val="18"/>
    </font>
    <font>
      <color rgb="00000000"/>
      <sz val="11"/>
    </font>
    <font>
      <b val="1"/>
      <color rgb="001F2A44"/>
      <sz val="13"/>
    </font>
    <font>
      <b val="1"/>
      <color rgb="001F2A44"/>
      <sz val="14"/>
    </font>
    <font>
      <b val="1"/>
      <color rgb="00FFFFFF"/>
    </font>
    <font>
      <b val="1"/>
    </font>
    <font>
      <i val="1"/>
      <color rgb="00667085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8DC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pivotButton="0" quotePrefix="0" xfId="0"/>
    <xf numFmtId="0" fontId="0" fillId="3" borderId="0" applyAlignment="1" pivotButton="0" quotePrefix="0" xfId="0">
      <alignment wrapText="1"/>
    </xf>
    <xf numFmtId="0" fontId="0" fillId="3" borderId="1" pivotButton="0" quotePrefix="0" xfId="0"/>
    <xf numFmtId="0" fontId="6" fillId="0" borderId="0" pivotButton="0" quotePrefix="0" xfId="0"/>
    <xf numFmtId="0" fontId="0" fillId="4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0" fillId="3" borderId="1" applyAlignment="1" pivotButton="0" quotePrefix="0" xfId="0">
      <alignment wrapText="1"/>
    </xf>
    <xf numFmtId="164" fontId="0" fillId="3" borderId="1" applyAlignment="1" pivotButton="0" quotePrefix="0" xfId="0">
      <alignment wrapText="1"/>
    </xf>
    <xf numFmtId="165" fontId="0" fillId="3" borderId="1" applyAlignment="1" pivotButton="0" quotePrefix="0" xfId="0">
      <alignment wrapText="1"/>
    </xf>
    <xf numFmtId="164" fontId="0" fillId="4" borderId="1" applyAlignment="1" pivotButton="0" quotePrefix="0" xfId="0">
      <alignment wrapText="1"/>
    </xf>
    <xf numFmtId="0" fontId="5" fillId="2" borderId="0" applyAlignment="1" pivotButton="0" quotePrefix="0" xfId="0">
      <alignment wrapText="1"/>
    </xf>
    <xf numFmtId="166" fontId="0" fillId="3" borderId="1" pivotButton="0" quotePrefix="0" xfId="0"/>
    <xf numFmtId="166" fontId="6" fillId="4" borderId="0" pivotButton="0" quotePrefix="0" xfId="0"/>
    <xf numFmtId="9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Options Trading Plan &amp; Checklist Pack</t>
        </is>
      </c>
    </row>
    <row r="3">
      <c r="B3" s="2" t="inlineStr">
        <is>
          <t>A pre-trade checklist, a daily plan and a weekly review, so you follow your own rules.</t>
        </is>
      </c>
    </row>
    <row r="4">
      <c r="B4" s="2" t="inlineStr"/>
    </row>
    <row r="5">
      <c r="B5" s="3" t="inlineStr">
        <is>
          <t>How to use it</t>
        </is>
      </c>
    </row>
    <row r="6">
      <c r="B6" s="2" t="inlineStr">
        <is>
          <t>1. 'Pre-Trade Checklist': edit the rules in column B to be YOUR rules, then answer Y or N for each trade. It says GO only if every required rule is a Y.</t>
        </is>
      </c>
    </row>
    <row r="7">
      <c r="B7" s="2" t="inlineStr">
        <is>
          <t>2. 'Daily Plan': fill it in before the open: your max trades, loss limit, setups you will take and the ones you will skip.</t>
        </is>
      </c>
    </row>
    <row r="8">
      <c r="B8" s="2" t="inlineStr">
        <is>
          <t>3. 'Weekly Review': log each day, count rule breaks, and write one change for next week. Totals calculate themselves.</t>
        </is>
      </c>
    </row>
    <row r="9">
      <c r="B9" s="2" t="inlineStr">
        <is>
          <t>Yellow cells are inputs; grey cells are formulas.</t>
        </is>
      </c>
    </row>
    <row r="10">
      <c r="B10" s="2" t="inlineStr"/>
    </row>
    <row r="11">
      <c r="B11" s="3" t="inlineStr">
        <is>
          <t>Please read</t>
        </is>
      </c>
    </row>
    <row r="12">
      <c r="B12" s="2" t="inlineStr">
        <is>
          <t>This is a planning and record-keeping tool. It is not advice or a signal and does not predict or improve results by itself. The default rules are examples; replace them with your own.</t>
        </is>
      </c>
    </row>
    <row r="13">
      <c r="B13" s="2" t="inlineStr">
        <is>
          <t>Options trading involves risk of loss. Built with AI assistance (Claude) and tested by recalculating every formula.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12" customWidth="1" min="3" max="3"/>
    <col width="12" customWidth="1" min="4" max="4"/>
  </cols>
  <sheetData>
    <row r="1">
      <c r="A1" s="4" t="inlineStr">
        <is>
          <t>Pre-trade checklist</t>
        </is>
      </c>
    </row>
    <row r="3">
      <c r="A3" s="5" t="inlineStr">
        <is>
          <t>#</t>
        </is>
      </c>
      <c r="B3" s="5" t="inlineStr">
        <is>
          <t>Rule (edit to your own)</t>
        </is>
      </c>
      <c r="C3" s="5" t="inlineStr">
        <is>
          <t>Answer Y/N</t>
        </is>
      </c>
      <c r="D3" s="5" t="inlineStr">
        <is>
          <t>Required?</t>
        </is>
      </c>
    </row>
    <row r="4">
      <c r="A4" t="n">
        <v>1</v>
      </c>
      <c r="B4" s="6" t="inlineStr">
        <is>
          <t>The setup is one of the setups written in my plan today</t>
        </is>
      </c>
      <c r="C4" s="7" t="n"/>
      <c r="D4" s="7" t="inlineStr">
        <is>
          <t>Y</t>
        </is>
      </c>
    </row>
    <row r="5">
      <c r="A5" t="n">
        <v>2</v>
      </c>
      <c r="B5" s="6" t="inlineStr">
        <is>
          <t>Max loss of the whole position is within my per-trade limit</t>
        </is>
      </c>
      <c r="C5" s="7" t="n"/>
      <c r="D5" s="7" t="inlineStr">
        <is>
          <t>Y</t>
        </is>
      </c>
    </row>
    <row r="6">
      <c r="A6" t="n">
        <v>3</v>
      </c>
      <c r="B6" s="6" t="inlineStr">
        <is>
          <t>I priced it at the ask when buying / bid when selling, fees included</t>
        </is>
      </c>
      <c r="C6" s="7" t="n"/>
      <c r="D6" s="7" t="inlineStr">
        <is>
          <t>Y</t>
        </is>
      </c>
    </row>
    <row r="7">
      <c r="A7" t="n">
        <v>4</v>
      </c>
      <c r="B7" s="6" t="inlineStr">
        <is>
          <t>My stop or exit level is written down before entry</t>
        </is>
      </c>
      <c r="C7" s="7" t="n"/>
      <c r="D7" s="7" t="inlineStr">
        <is>
          <t>Y</t>
        </is>
      </c>
    </row>
    <row r="8">
      <c r="A8" t="n">
        <v>5</v>
      </c>
      <c r="B8" s="6" t="inlineStr">
        <is>
          <t>I am under my max trades for today</t>
        </is>
      </c>
      <c r="C8" s="7" t="n"/>
      <c r="D8" s="7" t="inlineStr">
        <is>
          <t>Y</t>
        </is>
      </c>
    </row>
    <row r="9">
      <c r="A9" t="n">
        <v>6</v>
      </c>
      <c r="B9" s="6" t="inlineStr">
        <is>
          <t>I am under my daily loss limit</t>
        </is>
      </c>
      <c r="C9" s="7" t="n"/>
      <c r="D9" s="7" t="inlineStr">
        <is>
          <t>Y</t>
        </is>
      </c>
    </row>
    <row r="10">
      <c r="A10" t="n">
        <v>7</v>
      </c>
      <c r="B10" s="6" t="inlineStr">
        <is>
          <t>No major scheduled news in the next 15 minutes that I did not plan for</t>
        </is>
      </c>
      <c r="C10" s="7" t="n"/>
      <c r="D10" s="7" t="inlineStr">
        <is>
          <t>N</t>
        </is>
      </c>
    </row>
    <row r="11">
      <c r="A11" t="n">
        <v>8</v>
      </c>
      <c r="B11" s="6" t="inlineStr">
        <is>
          <t>I am calm: not trying to win back a loss</t>
        </is>
      </c>
      <c r="C11" s="7" t="n"/>
      <c r="D11" s="7" t="inlineStr">
        <is>
          <t>Y</t>
        </is>
      </c>
    </row>
    <row r="12">
      <c r="A12" t="n">
        <v>9</v>
      </c>
      <c r="B12" s="6" t="inlineStr">
        <is>
          <t>The trade is defined-risk (no naked short options)</t>
        </is>
      </c>
      <c r="C12" s="7" t="n"/>
      <c r="D12" s="7" t="inlineStr">
        <is>
          <t>Y</t>
        </is>
      </c>
    </row>
    <row r="13">
      <c r="A13" t="n">
        <v>10</v>
      </c>
      <c r="B13" s="6" t="inlineStr">
        <is>
          <t>Spread / liquidity is acceptable for this contract</t>
        </is>
      </c>
      <c r="C13" s="7" t="n"/>
      <c r="D13" s="7" t="inlineStr">
        <is>
          <t>N</t>
        </is>
      </c>
    </row>
    <row r="15">
      <c r="B15" s="8" t="inlineStr">
        <is>
          <t>Required rules answered Y</t>
        </is>
      </c>
      <c r="C15" s="9">
        <f>COUNTIFS(D4:D13,"Y",C4:C13,"Y")</f>
        <v/>
      </c>
    </row>
    <row r="16">
      <c r="B16" s="8" t="inlineStr">
        <is>
          <t>Required rules in total</t>
        </is>
      </c>
      <c r="C16" s="9">
        <f>COUNTIF(D4:D13,"Y")</f>
        <v/>
      </c>
    </row>
    <row r="17">
      <c r="B17" s="8" t="inlineStr">
        <is>
          <t>Result</t>
        </is>
      </c>
      <c r="C17" s="10">
        <f>IF(COUNTIFS(D4:D13,"Y",C4:C13,"")&gt;0,"INCOMPLETE",IF(C15=C16,"GO","WAIT"))</f>
        <v/>
      </c>
    </row>
    <row r="18">
      <c r="B18" s="11" t="inlineStr">
        <is>
          <t>Clear column C before each new trade. GO = every required rule is Y. WAIT = at least one required rule is N.</t>
        </is>
      </c>
    </row>
  </sheetData>
  <conditionalFormatting sqref="C17">
    <cfRule type="cellIs" priority="1" operator="equal" dxfId="0">
      <formula>"GO"</formula>
    </cfRule>
    <cfRule type="cellIs" priority="2" operator="equal" dxfId="1">
      <formula>"WAIT"</formula>
    </cfRule>
  </conditionalFormatting>
  <dataValidations count="1">
    <dataValidation sqref="C4:C13 D4:D1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4" t="inlineStr">
        <is>
          <t>Daily plan (fill in before the open)</t>
        </is>
      </c>
    </row>
    <row r="3">
      <c r="A3" s="8" t="inlineStr">
        <is>
          <t>Date</t>
        </is>
      </c>
      <c r="B3" s="12" t="n"/>
    </row>
    <row r="4">
      <c r="A4" s="8" t="inlineStr">
        <is>
          <t>Account size ($)</t>
        </is>
      </c>
      <c r="B4" s="13" t="n">
        <v>5000</v>
      </c>
    </row>
    <row r="5">
      <c r="A5" s="8" t="inlineStr">
        <is>
          <t>Max loss per trade (%)</t>
        </is>
      </c>
      <c r="B5" s="14" t="n">
        <v>0.05</v>
      </c>
    </row>
    <row r="6">
      <c r="A6" s="8" t="inlineStr">
        <is>
          <t>Max loss per trade ($)</t>
        </is>
      </c>
      <c r="B6" s="15">
        <f>B4*B5</f>
        <v/>
      </c>
    </row>
    <row r="7">
      <c r="A7" s="8" t="inlineStr">
        <is>
          <t>Max loss for the day (%)</t>
        </is>
      </c>
      <c r="B7" s="14" t="n">
        <v>0.1</v>
      </c>
    </row>
    <row r="8">
      <c r="A8" s="8" t="inlineStr">
        <is>
          <t>Max loss for the day ($)</t>
        </is>
      </c>
      <c r="B8" s="15">
        <f>B4*B7</f>
        <v/>
      </c>
    </row>
    <row r="9">
      <c r="A9" s="8" t="inlineStr">
        <is>
          <t>Max number of trades</t>
        </is>
      </c>
      <c r="B9" s="12" t="n">
        <v>3</v>
      </c>
    </row>
    <row r="10">
      <c r="A10" s="8" t="inlineStr">
        <is>
          <t>Setups I will take today</t>
        </is>
      </c>
      <c r="B10" s="12" t="inlineStr">
        <is>
          <t>Example: the setup from my written plan</t>
        </is>
      </c>
    </row>
    <row r="11">
      <c r="A11" s="8" t="inlineStr">
        <is>
          <t>Setups I will skip today</t>
        </is>
      </c>
      <c r="B11" s="12" t="n"/>
    </row>
    <row r="12">
      <c r="A12" s="8" t="inlineStr">
        <is>
          <t>Events / news to respect</t>
        </is>
      </c>
      <c r="B12" s="12" t="n"/>
    </row>
    <row r="13">
      <c r="A13" s="8" t="inlineStr">
        <is>
          <t>If I hit my daily limit I will</t>
        </is>
      </c>
      <c r="B13" s="12" t="n"/>
    </row>
    <row r="14">
      <c r="A14" s="8" t="inlineStr">
        <is>
          <t>One thing I will do better today</t>
        </is>
      </c>
      <c r="B14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40" customWidth="1" min="5" max="5"/>
    <col width="40" customWidth="1" min="6" max="6"/>
  </cols>
  <sheetData>
    <row r="1">
      <c r="A1" s="4" t="inlineStr">
        <is>
          <t>Weekly review</t>
        </is>
      </c>
    </row>
    <row r="3">
      <c r="A3" s="16" t="inlineStr">
        <is>
          <t>Date</t>
        </is>
      </c>
      <c r="B3" s="16" t="inlineStr">
        <is>
          <t>Trades taken</t>
        </is>
      </c>
      <c r="C3" s="16" t="inlineStr">
        <is>
          <t>Rule breaks (count)</t>
        </is>
      </c>
      <c r="D3" s="16" t="inlineStr">
        <is>
          <t>Day P&amp;L ($)</t>
        </is>
      </c>
      <c r="E3" s="16" t="inlineStr">
        <is>
          <t>What I did well</t>
        </is>
      </c>
      <c r="F3" s="16" t="inlineStr">
        <is>
          <t>What I would change</t>
        </is>
      </c>
    </row>
    <row r="4">
      <c r="A4" s="7" t="inlineStr">
        <is>
          <t>2026-01-05</t>
        </is>
      </c>
      <c r="B4" s="7" t="n">
        <v>2</v>
      </c>
      <c r="C4" s="7" t="n">
        <v>0</v>
      </c>
      <c r="D4" s="17" t="n">
        <v>35</v>
      </c>
      <c r="E4" s="7" t="n"/>
      <c r="F4" s="7" t="n"/>
    </row>
    <row r="5">
      <c r="A5" s="7" t="inlineStr">
        <is>
          <t>2026-01-06</t>
        </is>
      </c>
      <c r="B5" s="7" t="n">
        <v>3</v>
      </c>
      <c r="C5" s="7" t="n">
        <v>1</v>
      </c>
      <c r="D5" s="17" t="n">
        <v>-60</v>
      </c>
      <c r="E5" s="7" t="n"/>
      <c r="F5" s="7" t="n"/>
    </row>
    <row r="6">
      <c r="A6" s="7" t="inlineStr">
        <is>
          <t>2026-01-07</t>
        </is>
      </c>
      <c r="B6" s="7" t="n">
        <v>1</v>
      </c>
      <c r="C6" s="7" t="n">
        <v>0</v>
      </c>
      <c r="D6" s="17" t="n">
        <v>20</v>
      </c>
      <c r="E6" s="7" t="n"/>
      <c r="F6" s="7" t="n"/>
    </row>
    <row r="7">
      <c r="A7" s="7" t="n"/>
      <c r="B7" s="7" t="n"/>
      <c r="C7" s="7" t="n"/>
      <c r="D7" s="17" t="n"/>
      <c r="E7" s="7" t="n"/>
      <c r="F7" s="7" t="n"/>
    </row>
    <row r="8">
      <c r="A8" s="7" t="n"/>
      <c r="B8" s="7" t="n"/>
      <c r="C8" s="7" t="n"/>
      <c r="D8" s="17" t="n"/>
      <c r="E8" s="7" t="n"/>
      <c r="F8" s="7" t="n"/>
    </row>
    <row r="10">
      <c r="A10" s="8" t="inlineStr">
        <is>
          <t>Totals</t>
        </is>
      </c>
      <c r="B10" s="10">
        <f>SUM(B4:B8)</f>
        <v/>
      </c>
      <c r="C10" s="10">
        <f>SUM(C4:C8)</f>
        <v/>
      </c>
      <c r="D10" s="18">
        <f>SUM(D4:D8)</f>
        <v/>
      </c>
    </row>
    <row r="11">
      <c r="A11" t="inlineStr">
        <is>
          <t>Days with zero rule breaks</t>
        </is>
      </c>
      <c r="B11" s="9">
        <f>COUNTIFS(C4:C8,0,B4:B8,"&gt;0")</f>
        <v/>
      </c>
    </row>
    <row r="12">
      <c r="A12" t="inlineStr">
        <is>
          <t>Days traded</t>
        </is>
      </c>
      <c r="B12" s="9">
        <f>COUNTIF(B4:B8,"&gt;0")</f>
        <v/>
      </c>
    </row>
    <row r="13">
      <c r="A13" t="inlineStr">
        <is>
          <t>Rule-following rate</t>
        </is>
      </c>
      <c r="B13" s="19">
        <f>IF(B12=0,"",B11/B12)</f>
        <v/>
      </c>
    </row>
    <row r="15">
      <c r="A15" s="8" t="inlineStr">
        <is>
          <t>The one change I will make next week:</t>
        </is>
      </c>
      <c r="B15" s="20" t="n"/>
    </row>
    <row r="17">
      <c r="A17" s="11" t="inlineStr">
        <is>
          <t>Sample rows above are made up. Overwrite them. The rule-following rate measures whether you followed your plan, not whether trades made money.</t>
        </is>
      </c>
    </row>
  </sheetData>
  <mergeCells count="1">
    <mergeCell ref="B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2026-10-28T15:50:45Z</dcterms:created>
  <dcterms:modified xmlns:dcterms="http://purl.org/dc/terms/" xmlns:xsi="http://www.w3.org/2001/XMLSchema-instance" xsi:type="dcterms:W3CDTF">2026-10-28T15:50:45Z</dcterms:modified>
</cp:coreProperties>
</file>