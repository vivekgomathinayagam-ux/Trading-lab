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ules" sheetId="2" state="visible" r:id="rId2"/>
    <sheet xmlns:r="http://schemas.openxmlformats.org/officeDocument/2006/relationships" name="Daily log" sheetId="3" state="visible" r:id="rId3"/>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yyyy-mm-dd"/>
  </numFmts>
  <fonts count="11">
    <font>
      <name val="Calibri"/>
      <family val="2"/>
      <color theme="1"/>
      <sz val="11"/>
      <scheme val="minor"/>
    </font>
    <font>
      <b val="1"/>
      <color rgb="001F2A44"/>
      <sz val="18"/>
    </font>
    <font>
      <color rgb="00000000"/>
      <sz val="11"/>
    </font>
    <font>
      <b val="1"/>
      <color rgb="001F2A44"/>
      <sz val="13"/>
    </font>
    <font>
      <b val="1"/>
      <color rgb="001F2A44"/>
      <sz val="15"/>
    </font>
    <font>
      <b val="1"/>
    </font>
    <font>
      <i val="1"/>
      <color rgb="00667085"/>
    </font>
    <font>
      <b val="1"/>
      <color rgb="001F2A44"/>
      <sz val="12"/>
    </font>
    <font>
      <b val="1"/>
      <color rgb="00FFFFFF"/>
    </font>
    <font>
      <b val="1"/>
      <color rgb="001F2A44"/>
      <sz val="14"/>
    </font>
    <font>
      <i val="1"/>
      <color rgb="00B42318"/>
    </font>
  </fonts>
  <fills count="5">
    <fill>
      <patternFill/>
    </fill>
    <fill>
      <patternFill patternType="gray125"/>
    </fill>
    <fill>
      <patternFill patternType="solid">
        <fgColor rgb="00FFF8DC"/>
      </patternFill>
    </fill>
    <fill>
      <patternFill patternType="solid">
        <fgColor rgb="00F2F4F7"/>
      </patternFill>
    </fill>
    <fill>
      <patternFill patternType="solid">
        <fgColor rgb="001F2A44"/>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164" fontId="0" fillId="2" borderId="1" pivotButton="0" quotePrefix="0" xfId="0"/>
    <xf numFmtId="0" fontId="6" fillId="0" borderId="0" pivotButton="0" quotePrefix="0" xfId="0"/>
    <xf numFmtId="0" fontId="0" fillId="2" borderId="1" pivotButton="0" quotePrefix="0" xfId="0"/>
    <xf numFmtId="0" fontId="7" fillId="0" borderId="0" pivotButton="0" quotePrefix="0" xfId="0"/>
    <xf numFmtId="1" fontId="0" fillId="3" borderId="1" pivotButton="0" quotePrefix="0" xfId="0"/>
    <xf numFmtId="164" fontId="0" fillId="3" borderId="1" pivotButton="0" quotePrefix="0" xfId="0"/>
    <xf numFmtId="165" fontId="0" fillId="3" borderId="1" pivotButton="0" quotePrefix="0" xfId="0"/>
    <xf numFmtId="0" fontId="5" fillId="3" borderId="1" pivotButton="0" quotePrefix="0" xfId="0"/>
    <xf numFmtId="0" fontId="9" fillId="0" borderId="0" pivotButton="0" quotePrefix="0" xfId="0"/>
    <xf numFmtId="0" fontId="10" fillId="0" borderId="0" pivotButton="0" quotePrefix="0" xfId="0"/>
    <xf numFmtId="0" fontId="8" fillId="4" borderId="0" applyAlignment="1" pivotButton="0" quotePrefix="0" xfId="0">
      <alignment horizontal="center" wrapText="1"/>
    </xf>
    <xf numFmtId="166" fontId="0" fillId="2" borderId="1" pivotButton="0" quotePrefix="0" xfId="0"/>
    <xf numFmtId="164" fontId="0" fillId="3" borderId="0" pivotButton="0" quotePrefix="0" xfId="0"/>
    <xf numFmtId="165" fontId="0" fillId="3" borderId="0" pivotButton="0" quotePrefix="0" xfId="0"/>
    <xf numFmtId="0" fontId="0" fillId="3" borderId="0" pivotButton="0" quotePrefix="0" xfId="0"/>
  </cellXfs>
  <cellStyles count="1">
    <cellStyle name="Normal" xfId="0" builtinId="0" hidden="0"/>
  </cellStyles>
  <dxfs count="3">
    <dxf>
      <fill>
        <patternFill patternType="solid">
          <bgColor rgb="00F8B4B4"/>
        </patternFill>
      </fill>
    </dxf>
    <dxf>
      <fill>
        <patternFill patternType="solid">
          <bgColor rgb="00FDE68A"/>
        </patternFill>
      </fill>
    </dxf>
    <dxf>
      <fill>
        <patternFill patternType="solid">
          <bgColor rgb="00BBF7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3"/>
  <sheetViews>
    <sheetView workbookViewId="0">
      <selection activeCell="A1" sqref="A1"/>
    </sheetView>
  </sheetViews>
  <sheetFormatPr baseColWidth="8" defaultRowHeight="15"/>
  <cols>
    <col width="3" customWidth="1" min="1" max="1"/>
    <col width="100" customWidth="1" min="2" max="2"/>
  </cols>
  <sheetData>
    <row r="2">
      <c r="B2" s="1" t="inlineStr">
        <is>
          <t>Funded-Account Drawdown Tracker</t>
        </is>
      </c>
    </row>
    <row r="3">
      <c r="B3" s="2" t="inlineStr">
        <is>
          <t>Track a trading-challenge or funded account against its own loss rules, one row per trading day.</t>
        </is>
      </c>
    </row>
    <row r="4">
      <c r="B4" s="2" t="inlineStr"/>
    </row>
    <row r="5">
      <c r="B5" s="3" t="inlineStr">
        <is>
          <t>How to use it</t>
        </is>
      </c>
    </row>
    <row r="6">
      <c r="B6" s="2" t="inlineStr">
        <is>
          <t>1. 'Rules' tab: type the numbers from YOUR firm's rules (account size, profit target, daily loss limit, max drawdown, trailing or static). Yellow cells are inputs.</t>
        </is>
      </c>
    </row>
    <row r="7">
      <c r="B7" s="2" t="inlineStr">
        <is>
          <t>2. 'Daily log' tab: add one row per trading day with the day's net profit or loss in dollars (after fees). Everything else calculates.</t>
        </is>
      </c>
    </row>
    <row r="8">
      <c r="B8" s="2" t="inlineStr">
        <is>
          <t>3. 'Rules' tab also shows your current balance, your drawdown floor, how many dollars of cushion are left, and a status line.</t>
        </is>
      </c>
    </row>
    <row r="9">
      <c r="B9" s="2" t="inlineStr">
        <is>
          <t>4. Rows 5-12 of the Daily log hold SAMPLE numbers so you can see how it works. Delete the yellow P&amp;L values to start your own.</t>
        </is>
      </c>
    </row>
    <row r="10">
      <c r="B10" s="2" t="inlineStr"/>
    </row>
    <row r="11">
      <c r="B11" s="3" t="inlineStr">
        <is>
          <t>Read this first</t>
        </is>
      </c>
    </row>
    <row r="12">
      <c r="B12" s="2" t="inlineStr">
        <is>
          <t>Firms differ: some trail the floor on end-of-day balance, some on intraday equity, some lock the floor at the starting balance, some measure daily loss from the day's starting balance or from equity. This sheet models the common end-of-day versions only. Always check your firm's own rules and dashboard; they are the authority, this sheet is a second set of eyes.</t>
        </is>
      </c>
    </row>
    <row r="13">
      <c r="B13" s="2" t="inlineStr">
        <is>
          <t>This is arithmetic on numbers you type. It is not advice, not a signal, and not affiliated with any firm. Trading involves risk of loss. Built with AI assistance (Claude) and tested by recalculating every formula.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40" customWidth="1" min="1" max="1"/>
    <col width="18" customWidth="1" min="2" max="2"/>
    <col width="70" customWidth="1" min="3" max="3"/>
  </cols>
  <sheetData>
    <row r="1">
      <c r="A1" s="4" t="inlineStr">
        <is>
          <t>Account rules and live status</t>
        </is>
      </c>
    </row>
    <row r="3">
      <c r="A3" s="5" t="inlineStr">
        <is>
          <t>Starting balance ($)</t>
        </is>
      </c>
      <c r="B3" s="6" t="n">
        <v>50000</v>
      </c>
      <c r="C3" s="7" t="inlineStr">
        <is>
          <t>Account size at the start of the challenge or funded stage</t>
        </is>
      </c>
    </row>
    <row r="4">
      <c r="A4" s="5" t="inlineStr">
        <is>
          <t>Profit target ($)</t>
        </is>
      </c>
      <c r="B4" s="6" t="n">
        <v>3000</v>
      </c>
      <c r="C4" s="7" t="inlineStr">
        <is>
          <t>Dollars of profit needed (0 if none, e.g. funded stage)</t>
        </is>
      </c>
    </row>
    <row r="5">
      <c r="A5" s="5" t="inlineStr">
        <is>
          <t>Max daily loss ($)</t>
        </is>
      </c>
      <c r="B5" s="6" t="n">
        <v>1000</v>
      </c>
      <c r="C5" s="7" t="inlineStr">
        <is>
          <t>Loss in one day that breaches the account (0 if none)</t>
        </is>
      </c>
    </row>
    <row r="6">
      <c r="A6" s="5" t="inlineStr">
        <is>
          <t>Max drawdown ($)</t>
        </is>
      </c>
      <c r="B6" s="6" t="n">
        <v>2000</v>
      </c>
      <c r="C6" s="7" t="inlineStr">
        <is>
          <t>Distance from the high-water mark (trailing) or from the start (static)</t>
        </is>
      </c>
    </row>
    <row r="7">
      <c r="A7" s="5" t="inlineStr">
        <is>
          <t>Drawdown type</t>
        </is>
      </c>
      <c r="B7" s="8" t="inlineStr">
        <is>
          <t>Trailing (end of day)</t>
        </is>
      </c>
      <c r="C7" s="7" t="inlineStr">
        <is>
          <t>Trailing: floor rises with your best end-of-day balance. Static: floor never moves</t>
        </is>
      </c>
    </row>
    <row r="8">
      <c r="A8" s="5" t="inlineStr">
        <is>
          <t>Floor stops rising at starting balance?</t>
        </is>
      </c>
      <c r="B8" s="8" t="inlineStr">
        <is>
          <t>Yes</t>
        </is>
      </c>
      <c r="C8" s="7" t="inlineStr">
        <is>
          <t>Many firms stop trailing once the floor reaches the starting balance. Pick what your firm does</t>
        </is>
      </c>
    </row>
    <row r="10">
      <c r="A10" s="9" t="inlineStr">
        <is>
          <t>Live status (calculated)</t>
        </is>
      </c>
    </row>
    <row r="11">
      <c r="A11" s="5" t="inlineStr">
        <is>
          <t>Trading days logged</t>
        </is>
      </c>
      <c r="B11" s="10">
        <f>COUNT('Daily log'!B5:B204)</f>
        <v/>
      </c>
      <c r="C11" s="7" t="inlineStr"/>
    </row>
    <row r="12">
      <c r="A12" s="5" t="inlineStr">
        <is>
          <t>Current balance ($)</t>
        </is>
      </c>
      <c r="B12" s="11">
        <f>B3+SUM('Daily log'!B5:B204)</f>
        <v/>
      </c>
      <c r="C12" s="7" t="inlineStr"/>
    </row>
    <row r="13">
      <c r="A13" s="5" t="inlineStr">
        <is>
          <t>Highest end-of-day balance ($)</t>
        </is>
      </c>
      <c r="B13" s="11">
        <f>MAX(B3,MAX('Daily log'!D5:D204))</f>
        <v/>
      </c>
      <c r="C13" s="7" t="inlineStr"/>
    </row>
    <row r="14">
      <c r="A14" s="5" t="inlineStr">
        <is>
          <t>Drawdown floor now ($)</t>
        </is>
      </c>
      <c r="B14" s="11">
        <f>IF(B7="Static",B3-B6,IF(B8="Yes",MIN(B3,B13-B6),B13-B6))</f>
        <v/>
      </c>
      <c r="C14" s="7" t="inlineStr">
        <is>
          <t>Balance at or below this = account breached</t>
        </is>
      </c>
    </row>
    <row r="15">
      <c r="A15" s="5" t="inlineStr">
        <is>
          <t>Cushion above the floor ($)</t>
        </is>
      </c>
      <c r="B15" s="11">
        <f>B12-B14</f>
        <v/>
      </c>
      <c r="C15" s="7" t="inlineStr">
        <is>
          <t>How much you can still lose before the drawdown rule is breached</t>
        </is>
      </c>
    </row>
    <row r="16">
      <c r="A16" s="5" t="inlineStr">
        <is>
          <t>Cushion as % of balance</t>
        </is>
      </c>
      <c r="B16" s="12">
        <f>IF(B12=0,0,B15/B12)</f>
        <v/>
      </c>
      <c r="C16" s="7" t="inlineStr"/>
    </row>
    <row r="17">
      <c r="A17" s="5" t="inlineStr">
        <is>
          <t>Last day's P&amp;L ($)</t>
        </is>
      </c>
      <c r="B17" s="11">
        <f>IF(B11=0,0,INDEX('Daily log'!B5:B204,B11))</f>
        <v/>
      </c>
      <c r="C17" s="7" t="inlineStr"/>
    </row>
    <row r="18">
      <c r="A18" s="5" t="inlineStr">
        <is>
          <t>Daily loss limit used (last day)</t>
        </is>
      </c>
      <c r="B18" s="12">
        <f>IF(OR(B5=0,B17&gt;=0),0,-B17/B5)</f>
        <v/>
      </c>
      <c r="C18" s="7" t="inlineStr">
        <is>
          <t>100% or more = daily limit breached</t>
        </is>
      </c>
    </row>
    <row r="19">
      <c r="A19" s="5" t="inlineStr">
        <is>
          <t>Profit still needed to hit target ($)</t>
        </is>
      </c>
      <c r="B19" s="11">
        <f>MAX(0,B4-(B12-B3))</f>
        <v/>
      </c>
      <c r="C19" s="7" t="inlineStr"/>
    </row>
    <row r="20">
      <c r="A20" s="5" t="inlineStr">
        <is>
          <t>Progress to target</t>
        </is>
      </c>
      <c r="B20" s="12">
        <f>IF(B4=0,0,MAX(0,B12-B3)/B4)</f>
        <v/>
      </c>
      <c r="C20" s="7" t="inlineStr"/>
    </row>
    <row r="21">
      <c r="A21" s="5" t="inlineStr">
        <is>
          <t>Days with a breach</t>
        </is>
      </c>
      <c r="B21" s="10">
        <f>COUNTIF('Daily log'!J5:J204,"BREACH*")</f>
        <v/>
      </c>
      <c r="C21" s="7" t="inlineStr"/>
    </row>
    <row r="22">
      <c r="A22" s="5" t="inlineStr">
        <is>
          <t>Status</t>
        </is>
      </c>
      <c r="B22" s="13">
        <f>IF(B11=0,"No days logged",IF(B21&gt;0,"BREACHED: check your firm",IF(B12&lt;=B14,"BREACHED: at the floor",IF(AND(B4&gt;0,B12-B3&gt;=B4),"Target reached",IF(B15&lt;B6*0.25,"CAUTION: under 25% of drawdown left","OK")))))</f>
        <v/>
      </c>
      <c r="C22" s="7" t="inlineStr">
        <is>
          <t>Re-check against your firm's own dashboard</t>
        </is>
      </c>
    </row>
  </sheetData>
  <conditionalFormatting sqref="B22">
    <cfRule type="expression" priority="1" dxfId="0">
      <formula>LEFT(B22,8)="BREACHED"</formula>
    </cfRule>
    <cfRule type="expression" priority="2" dxfId="1">
      <formula>LEFT(B22,7)="CAUTION"</formula>
    </cfRule>
    <cfRule type="expression" priority="3" dxfId="2">
      <formula>OR(B22="OK",B22="Target reached")</formula>
    </cfRule>
  </conditionalFormatting>
  <dataValidations count="2">
    <dataValidation sqref="B7" showDropDown="0" showInputMessage="0" showErrorMessage="0" allowBlank="0" type="list">
      <formula1>"Trailing (end of day),Static"</formula1>
    </dataValidation>
    <dataValidation sqref="B8"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4"/>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8" customWidth="1" min="4" max="4"/>
    <col width="16" customWidth="1" min="5" max="5"/>
    <col width="14" customWidth="1" min="6" max="6"/>
    <col width="14" customWidth="1" min="7" max="7"/>
    <col width="16" customWidth="1" min="8" max="8"/>
    <col width="28" customWidth="1" min="9" max="9"/>
    <col width="22" customWidth="1" min="10" max="10"/>
  </cols>
  <sheetData>
    <row r="1">
      <c r="A1" s="14" t="inlineStr">
        <is>
          <t>Daily log: type a date and the day's net P&amp;L; the grey columns calculate</t>
        </is>
      </c>
    </row>
    <row r="2">
      <c r="A2" s="15" t="inlineStr">
        <is>
          <t>Rows 5-12 are SAMPLE data. Clear the yellow cells (A and B, and I if used) to start your own.</t>
        </is>
      </c>
    </row>
    <row r="4">
      <c r="A4" s="16" t="inlineStr">
        <is>
          <t>Date</t>
        </is>
      </c>
      <c r="B4" s="16" t="inlineStr">
        <is>
          <t>Net P&amp;L ($)</t>
        </is>
      </c>
      <c r="C4" s="16" t="inlineStr">
        <is>
          <t>End balance ($)</t>
        </is>
      </c>
      <c r="D4" s="16" t="inlineStr">
        <is>
          <t>Highest end balance ($)</t>
        </is>
      </c>
      <c r="E4" s="16" t="inlineStr">
        <is>
          <t>Drawdown floor ($)</t>
        </is>
      </c>
      <c r="F4" s="16" t="inlineStr">
        <is>
          <t>Cushion ($)</t>
        </is>
      </c>
      <c r="G4" s="16" t="inlineStr">
        <is>
          <t>Daily loss used</t>
        </is>
      </c>
      <c r="H4" s="16" t="inlineStr">
        <is>
          <t>Profit to date ($)</t>
        </is>
      </c>
      <c r="I4" s="16" t="inlineStr">
        <is>
          <t>Note</t>
        </is>
      </c>
      <c r="J4" s="16" t="inlineStr">
        <is>
          <t>Check</t>
        </is>
      </c>
    </row>
    <row r="5">
      <c r="A5" s="17" t="n">
        <v>46266</v>
      </c>
      <c r="B5" s="6" t="n">
        <v>420</v>
      </c>
      <c r="C5" s="18">
        <f>IF(B5="","",Rules!$B$3+SUM($B$5:B5))</f>
        <v/>
      </c>
      <c r="D5" s="18">
        <f>IF(B5="","",MAX(Rules!$B$3,MAX($C$5:C5)))</f>
        <v/>
      </c>
      <c r="E5" s="18">
        <f>IF(B5="","",IF(Rules!$B$7="Static",Rules!$B$3-Rules!$B$6,IF(Rules!$B$8="Yes",MIN(Rules!$B$3,D5-Rules!$B$6),D5-Rules!$B$6)))</f>
        <v/>
      </c>
      <c r="F5" s="18">
        <f>IF(B5="","",C5-E5)</f>
        <v/>
      </c>
      <c r="G5" s="19">
        <f>IF(B5="","",IF(OR(Rules!$B$5=0,B5&gt;=0),0,-B5/Rules!$B$5))</f>
        <v/>
      </c>
      <c r="H5" s="18">
        <f>IF(B5="","",C5-Rules!$B$3)</f>
        <v/>
      </c>
      <c r="I5" s="8" t="inlineStr">
        <is>
          <t>SAMPLE</t>
        </is>
      </c>
      <c r="J5" s="20">
        <f>IF(B5="","",IF(C5&lt;=E5,"BREACH: floor",IF(G5&gt;=1,"BREACH: daily limit",IF(F5&lt;Rules!$B$6*0.25,"Caution","OK"))))</f>
        <v/>
      </c>
    </row>
    <row r="6">
      <c r="A6" s="17" t="n">
        <v>46267</v>
      </c>
      <c r="B6" s="6" t="n">
        <v>-310</v>
      </c>
      <c r="C6" s="18">
        <f>IF(B6="","",Rules!$B$3+SUM($B$5:B6))</f>
        <v/>
      </c>
      <c r="D6" s="18">
        <f>IF(B6="","",MAX(Rules!$B$3,MAX($C$5:C6)))</f>
        <v/>
      </c>
      <c r="E6" s="18">
        <f>IF(B6="","",IF(Rules!$B$7="Static",Rules!$B$3-Rules!$B$6,IF(Rules!$B$8="Yes",MIN(Rules!$B$3,D6-Rules!$B$6),D6-Rules!$B$6)))</f>
        <v/>
      </c>
      <c r="F6" s="18">
        <f>IF(B6="","",C6-E6)</f>
        <v/>
      </c>
      <c r="G6" s="19">
        <f>IF(B6="","",IF(OR(Rules!$B$5=0,B6&gt;=0),0,-B6/Rules!$B$5))</f>
        <v/>
      </c>
      <c r="H6" s="18">
        <f>IF(B6="","",C6-Rules!$B$3)</f>
        <v/>
      </c>
      <c r="I6" s="8" t="inlineStr">
        <is>
          <t>SAMPLE</t>
        </is>
      </c>
      <c r="J6" s="20">
        <f>IF(B6="","",IF(C6&lt;=E6,"BREACH: floor",IF(G6&gt;=1,"BREACH: daily limit",IF(F6&lt;Rules!$B$6*0.25,"Caution","OK"))))</f>
        <v/>
      </c>
    </row>
    <row r="7">
      <c r="A7" s="17" t="n">
        <v>46268</v>
      </c>
      <c r="B7" s="6" t="n">
        <v>880</v>
      </c>
      <c r="C7" s="18">
        <f>IF(B7="","",Rules!$B$3+SUM($B$5:B7))</f>
        <v/>
      </c>
      <c r="D7" s="18">
        <f>IF(B7="","",MAX(Rules!$B$3,MAX($C$5:C7)))</f>
        <v/>
      </c>
      <c r="E7" s="18">
        <f>IF(B7="","",IF(Rules!$B$7="Static",Rules!$B$3-Rules!$B$6,IF(Rules!$B$8="Yes",MIN(Rules!$B$3,D7-Rules!$B$6),D7-Rules!$B$6)))</f>
        <v/>
      </c>
      <c r="F7" s="18">
        <f>IF(B7="","",C7-E7)</f>
        <v/>
      </c>
      <c r="G7" s="19">
        <f>IF(B7="","",IF(OR(Rules!$B$5=0,B7&gt;=0),0,-B7/Rules!$B$5))</f>
        <v/>
      </c>
      <c r="H7" s="18">
        <f>IF(B7="","",C7-Rules!$B$3)</f>
        <v/>
      </c>
      <c r="I7" s="8" t="inlineStr">
        <is>
          <t>SAMPLE</t>
        </is>
      </c>
      <c r="J7" s="20">
        <f>IF(B7="","",IF(C7&lt;=E7,"BREACH: floor",IF(G7&gt;=1,"BREACH: daily limit",IF(F7&lt;Rules!$B$6*0.25,"Caution","OK"))))</f>
        <v/>
      </c>
    </row>
    <row r="8">
      <c r="A8" s="17" t="n">
        <v>46269</v>
      </c>
      <c r="B8" s="6" t="n">
        <v>-850</v>
      </c>
      <c r="C8" s="18">
        <f>IF(B8="","",Rules!$B$3+SUM($B$5:B8))</f>
        <v/>
      </c>
      <c r="D8" s="18">
        <f>IF(B8="","",MAX(Rules!$B$3,MAX($C$5:C8)))</f>
        <v/>
      </c>
      <c r="E8" s="18">
        <f>IF(B8="","",IF(Rules!$B$7="Static",Rules!$B$3-Rules!$B$6,IF(Rules!$B$8="Yes",MIN(Rules!$B$3,D8-Rules!$B$6),D8-Rules!$B$6)))</f>
        <v/>
      </c>
      <c r="F8" s="18">
        <f>IF(B8="","",C8-E8)</f>
        <v/>
      </c>
      <c r="G8" s="19">
        <f>IF(B8="","",IF(OR(Rules!$B$5=0,B8&gt;=0),0,-B8/Rules!$B$5))</f>
        <v/>
      </c>
      <c r="H8" s="18">
        <f>IF(B8="","",C8-Rules!$B$3)</f>
        <v/>
      </c>
      <c r="I8" s="8" t="inlineStr">
        <is>
          <t>SAMPLE</t>
        </is>
      </c>
      <c r="J8" s="20">
        <f>IF(B8="","",IF(C8&lt;=E8,"BREACH: floor",IF(G8&gt;=1,"BREACH: daily limit",IF(F8&lt;Rules!$B$6*0.25,"Caution","OK"))))</f>
        <v/>
      </c>
    </row>
    <row r="9">
      <c r="A9" s="17" t="n">
        <v>46272</v>
      </c>
      <c r="B9" s="6" t="n">
        <v>650</v>
      </c>
      <c r="C9" s="18">
        <f>IF(B9="","",Rules!$B$3+SUM($B$5:B9))</f>
        <v/>
      </c>
      <c r="D9" s="18">
        <f>IF(B9="","",MAX(Rules!$B$3,MAX($C$5:C9)))</f>
        <v/>
      </c>
      <c r="E9" s="18">
        <f>IF(B9="","",IF(Rules!$B$7="Static",Rules!$B$3-Rules!$B$6,IF(Rules!$B$8="Yes",MIN(Rules!$B$3,D9-Rules!$B$6),D9-Rules!$B$6)))</f>
        <v/>
      </c>
      <c r="F9" s="18">
        <f>IF(B9="","",C9-E9)</f>
        <v/>
      </c>
      <c r="G9" s="19">
        <f>IF(B9="","",IF(OR(Rules!$B$5=0,B9&gt;=0),0,-B9/Rules!$B$5))</f>
        <v/>
      </c>
      <c r="H9" s="18">
        <f>IF(B9="","",C9-Rules!$B$3)</f>
        <v/>
      </c>
      <c r="I9" s="8" t="inlineStr">
        <is>
          <t>SAMPLE</t>
        </is>
      </c>
      <c r="J9" s="20">
        <f>IF(B9="","",IF(C9&lt;=E9,"BREACH: floor",IF(G9&gt;=1,"BREACH: daily limit",IF(F9&lt;Rules!$B$6*0.25,"Caution","OK"))))</f>
        <v/>
      </c>
    </row>
    <row r="10">
      <c r="A10" s="17" t="n">
        <v>46273</v>
      </c>
      <c r="B10" s="6" t="n">
        <v>1200</v>
      </c>
      <c r="C10" s="18">
        <f>IF(B10="","",Rules!$B$3+SUM($B$5:B10))</f>
        <v/>
      </c>
      <c r="D10" s="18">
        <f>IF(B10="","",MAX(Rules!$B$3,MAX($C$5:C10)))</f>
        <v/>
      </c>
      <c r="E10" s="18">
        <f>IF(B10="","",IF(Rules!$B$7="Static",Rules!$B$3-Rules!$B$6,IF(Rules!$B$8="Yes",MIN(Rules!$B$3,D10-Rules!$B$6),D10-Rules!$B$6)))</f>
        <v/>
      </c>
      <c r="F10" s="18">
        <f>IF(B10="","",C10-E10)</f>
        <v/>
      </c>
      <c r="G10" s="19">
        <f>IF(B10="","",IF(OR(Rules!$B$5=0,B10&gt;=0),0,-B10/Rules!$B$5))</f>
        <v/>
      </c>
      <c r="H10" s="18">
        <f>IF(B10="","",C10-Rules!$B$3)</f>
        <v/>
      </c>
      <c r="I10" s="8" t="inlineStr">
        <is>
          <t>SAMPLE</t>
        </is>
      </c>
      <c r="J10" s="20">
        <f>IF(B10="","",IF(C10&lt;=E10,"BREACH: floor",IF(G10&gt;=1,"BREACH: daily limit",IF(F10&lt;Rules!$B$6*0.25,"Caution","OK"))))</f>
        <v/>
      </c>
    </row>
    <row r="11">
      <c r="A11" s="17" t="n">
        <v>46274</v>
      </c>
      <c r="B11" s="6" t="n">
        <v>-450</v>
      </c>
      <c r="C11" s="18">
        <f>IF(B11="","",Rules!$B$3+SUM($B$5:B11))</f>
        <v/>
      </c>
      <c r="D11" s="18">
        <f>IF(B11="","",MAX(Rules!$B$3,MAX($C$5:C11)))</f>
        <v/>
      </c>
      <c r="E11" s="18">
        <f>IF(B11="","",IF(Rules!$B$7="Static",Rules!$B$3-Rules!$B$6,IF(Rules!$B$8="Yes",MIN(Rules!$B$3,D11-Rules!$B$6),D11-Rules!$B$6)))</f>
        <v/>
      </c>
      <c r="F11" s="18">
        <f>IF(B11="","",C11-E11)</f>
        <v/>
      </c>
      <c r="G11" s="19">
        <f>IF(B11="","",IF(OR(Rules!$B$5=0,B11&gt;=0),0,-B11/Rules!$B$5))</f>
        <v/>
      </c>
      <c r="H11" s="18">
        <f>IF(B11="","",C11-Rules!$B$3)</f>
        <v/>
      </c>
      <c r="I11" s="8" t="inlineStr">
        <is>
          <t>SAMPLE</t>
        </is>
      </c>
      <c r="J11" s="20">
        <f>IF(B11="","",IF(C11&lt;=E11,"BREACH: floor",IF(G11&gt;=1,"BREACH: daily limit",IF(F11&lt;Rules!$B$6*0.25,"Caution","OK"))))</f>
        <v/>
      </c>
    </row>
    <row r="12">
      <c r="A12" s="17" t="n">
        <v>46275</v>
      </c>
      <c r="B12" s="6" t="n">
        <v>300</v>
      </c>
      <c r="C12" s="18">
        <f>IF(B12="","",Rules!$B$3+SUM($B$5:B12))</f>
        <v/>
      </c>
      <c r="D12" s="18">
        <f>IF(B12="","",MAX(Rules!$B$3,MAX($C$5:C12)))</f>
        <v/>
      </c>
      <c r="E12" s="18">
        <f>IF(B12="","",IF(Rules!$B$7="Static",Rules!$B$3-Rules!$B$6,IF(Rules!$B$8="Yes",MIN(Rules!$B$3,D12-Rules!$B$6),D12-Rules!$B$6)))</f>
        <v/>
      </c>
      <c r="F12" s="18">
        <f>IF(B12="","",C12-E12)</f>
        <v/>
      </c>
      <c r="G12" s="19">
        <f>IF(B12="","",IF(OR(Rules!$B$5=0,B12&gt;=0),0,-B12/Rules!$B$5))</f>
        <v/>
      </c>
      <c r="H12" s="18">
        <f>IF(B12="","",C12-Rules!$B$3)</f>
        <v/>
      </c>
      <c r="I12" s="8" t="inlineStr">
        <is>
          <t>SAMPLE</t>
        </is>
      </c>
      <c r="J12" s="20">
        <f>IF(B12="","",IF(C12&lt;=E12,"BREACH: floor",IF(G12&gt;=1,"BREACH: daily limit",IF(F12&lt;Rules!$B$6*0.25,"Caution","OK"))))</f>
        <v/>
      </c>
    </row>
    <row r="13">
      <c r="A13" s="17" t="n"/>
      <c r="B13" s="6" t="n"/>
      <c r="C13" s="18">
        <f>IF(B13="","",Rules!$B$3+SUM($B$5:B13))</f>
        <v/>
      </c>
      <c r="D13" s="18">
        <f>IF(B13="","",MAX(Rules!$B$3,MAX($C$5:C13)))</f>
        <v/>
      </c>
      <c r="E13" s="18">
        <f>IF(B13="","",IF(Rules!$B$7="Static",Rules!$B$3-Rules!$B$6,IF(Rules!$B$8="Yes",MIN(Rules!$B$3,D13-Rules!$B$6),D13-Rules!$B$6)))</f>
        <v/>
      </c>
      <c r="F13" s="18">
        <f>IF(B13="","",C13-E13)</f>
        <v/>
      </c>
      <c r="G13" s="19">
        <f>IF(B13="","",IF(OR(Rules!$B$5=0,B13&gt;=0),0,-B13/Rules!$B$5))</f>
        <v/>
      </c>
      <c r="H13" s="18">
        <f>IF(B13="","",C13-Rules!$B$3)</f>
        <v/>
      </c>
      <c r="I13" s="8" t="n"/>
      <c r="J13" s="20">
        <f>IF(B13="","",IF(C13&lt;=E13,"BREACH: floor",IF(G13&gt;=1,"BREACH: daily limit",IF(F13&lt;Rules!$B$6*0.25,"Caution","OK"))))</f>
        <v/>
      </c>
    </row>
    <row r="14">
      <c r="A14" s="17" t="n"/>
      <c r="B14" s="6" t="n"/>
      <c r="C14" s="18">
        <f>IF(B14="","",Rules!$B$3+SUM($B$5:B14))</f>
        <v/>
      </c>
      <c r="D14" s="18">
        <f>IF(B14="","",MAX(Rules!$B$3,MAX($C$5:C14)))</f>
        <v/>
      </c>
      <c r="E14" s="18">
        <f>IF(B14="","",IF(Rules!$B$7="Static",Rules!$B$3-Rules!$B$6,IF(Rules!$B$8="Yes",MIN(Rules!$B$3,D14-Rules!$B$6),D14-Rules!$B$6)))</f>
        <v/>
      </c>
      <c r="F14" s="18">
        <f>IF(B14="","",C14-E14)</f>
        <v/>
      </c>
      <c r="G14" s="19">
        <f>IF(B14="","",IF(OR(Rules!$B$5=0,B14&gt;=0),0,-B14/Rules!$B$5))</f>
        <v/>
      </c>
      <c r="H14" s="18">
        <f>IF(B14="","",C14-Rules!$B$3)</f>
        <v/>
      </c>
      <c r="I14" s="8" t="n"/>
      <c r="J14" s="20">
        <f>IF(B14="","",IF(C14&lt;=E14,"BREACH: floor",IF(G14&gt;=1,"BREACH: daily limit",IF(F14&lt;Rules!$B$6*0.25,"Caution","OK"))))</f>
        <v/>
      </c>
    </row>
    <row r="15">
      <c r="A15" s="17" t="n"/>
      <c r="B15" s="6" t="n"/>
      <c r="C15" s="18">
        <f>IF(B15="","",Rules!$B$3+SUM($B$5:B15))</f>
        <v/>
      </c>
      <c r="D15" s="18">
        <f>IF(B15="","",MAX(Rules!$B$3,MAX($C$5:C15)))</f>
        <v/>
      </c>
      <c r="E15" s="18">
        <f>IF(B15="","",IF(Rules!$B$7="Static",Rules!$B$3-Rules!$B$6,IF(Rules!$B$8="Yes",MIN(Rules!$B$3,D15-Rules!$B$6),D15-Rules!$B$6)))</f>
        <v/>
      </c>
      <c r="F15" s="18">
        <f>IF(B15="","",C15-E15)</f>
        <v/>
      </c>
      <c r="G15" s="19">
        <f>IF(B15="","",IF(OR(Rules!$B$5=0,B15&gt;=0),0,-B15/Rules!$B$5))</f>
        <v/>
      </c>
      <c r="H15" s="18">
        <f>IF(B15="","",C15-Rules!$B$3)</f>
        <v/>
      </c>
      <c r="I15" s="8" t="n"/>
      <c r="J15" s="20">
        <f>IF(B15="","",IF(C15&lt;=E15,"BREACH: floor",IF(G15&gt;=1,"BREACH: daily limit",IF(F15&lt;Rules!$B$6*0.25,"Caution","OK"))))</f>
        <v/>
      </c>
    </row>
    <row r="16">
      <c r="A16" s="17" t="n"/>
      <c r="B16" s="6" t="n"/>
      <c r="C16" s="18">
        <f>IF(B16="","",Rules!$B$3+SUM($B$5:B16))</f>
        <v/>
      </c>
      <c r="D16" s="18">
        <f>IF(B16="","",MAX(Rules!$B$3,MAX($C$5:C16)))</f>
        <v/>
      </c>
      <c r="E16" s="18">
        <f>IF(B16="","",IF(Rules!$B$7="Static",Rules!$B$3-Rules!$B$6,IF(Rules!$B$8="Yes",MIN(Rules!$B$3,D16-Rules!$B$6),D16-Rules!$B$6)))</f>
        <v/>
      </c>
      <c r="F16" s="18">
        <f>IF(B16="","",C16-E16)</f>
        <v/>
      </c>
      <c r="G16" s="19">
        <f>IF(B16="","",IF(OR(Rules!$B$5=0,B16&gt;=0),0,-B16/Rules!$B$5))</f>
        <v/>
      </c>
      <c r="H16" s="18">
        <f>IF(B16="","",C16-Rules!$B$3)</f>
        <v/>
      </c>
      <c r="I16" s="8" t="n"/>
      <c r="J16" s="20">
        <f>IF(B16="","",IF(C16&lt;=E16,"BREACH: floor",IF(G16&gt;=1,"BREACH: daily limit",IF(F16&lt;Rules!$B$6*0.25,"Caution","OK"))))</f>
        <v/>
      </c>
    </row>
    <row r="17">
      <c r="A17" s="17" t="n"/>
      <c r="B17" s="6" t="n"/>
      <c r="C17" s="18">
        <f>IF(B17="","",Rules!$B$3+SUM($B$5:B17))</f>
        <v/>
      </c>
      <c r="D17" s="18">
        <f>IF(B17="","",MAX(Rules!$B$3,MAX($C$5:C17)))</f>
        <v/>
      </c>
      <c r="E17" s="18">
        <f>IF(B17="","",IF(Rules!$B$7="Static",Rules!$B$3-Rules!$B$6,IF(Rules!$B$8="Yes",MIN(Rules!$B$3,D17-Rules!$B$6),D17-Rules!$B$6)))</f>
        <v/>
      </c>
      <c r="F17" s="18">
        <f>IF(B17="","",C17-E17)</f>
        <v/>
      </c>
      <c r="G17" s="19">
        <f>IF(B17="","",IF(OR(Rules!$B$5=0,B17&gt;=0),0,-B17/Rules!$B$5))</f>
        <v/>
      </c>
      <c r="H17" s="18">
        <f>IF(B17="","",C17-Rules!$B$3)</f>
        <v/>
      </c>
      <c r="I17" s="8" t="n"/>
      <c r="J17" s="20">
        <f>IF(B17="","",IF(C17&lt;=E17,"BREACH: floor",IF(G17&gt;=1,"BREACH: daily limit",IF(F17&lt;Rules!$B$6*0.25,"Caution","OK"))))</f>
        <v/>
      </c>
    </row>
    <row r="18">
      <c r="A18" s="17" t="n"/>
      <c r="B18" s="6" t="n"/>
      <c r="C18" s="18">
        <f>IF(B18="","",Rules!$B$3+SUM($B$5:B18))</f>
        <v/>
      </c>
      <c r="D18" s="18">
        <f>IF(B18="","",MAX(Rules!$B$3,MAX($C$5:C18)))</f>
        <v/>
      </c>
      <c r="E18" s="18">
        <f>IF(B18="","",IF(Rules!$B$7="Static",Rules!$B$3-Rules!$B$6,IF(Rules!$B$8="Yes",MIN(Rules!$B$3,D18-Rules!$B$6),D18-Rules!$B$6)))</f>
        <v/>
      </c>
      <c r="F18" s="18">
        <f>IF(B18="","",C18-E18)</f>
        <v/>
      </c>
      <c r="G18" s="19">
        <f>IF(B18="","",IF(OR(Rules!$B$5=0,B18&gt;=0),0,-B18/Rules!$B$5))</f>
        <v/>
      </c>
      <c r="H18" s="18">
        <f>IF(B18="","",C18-Rules!$B$3)</f>
        <v/>
      </c>
      <c r="I18" s="8" t="n"/>
      <c r="J18" s="20">
        <f>IF(B18="","",IF(C18&lt;=E18,"BREACH: floor",IF(G18&gt;=1,"BREACH: daily limit",IF(F18&lt;Rules!$B$6*0.25,"Caution","OK"))))</f>
        <v/>
      </c>
    </row>
    <row r="19">
      <c r="A19" s="17" t="n"/>
      <c r="B19" s="6" t="n"/>
      <c r="C19" s="18">
        <f>IF(B19="","",Rules!$B$3+SUM($B$5:B19))</f>
        <v/>
      </c>
      <c r="D19" s="18">
        <f>IF(B19="","",MAX(Rules!$B$3,MAX($C$5:C19)))</f>
        <v/>
      </c>
      <c r="E19" s="18">
        <f>IF(B19="","",IF(Rules!$B$7="Static",Rules!$B$3-Rules!$B$6,IF(Rules!$B$8="Yes",MIN(Rules!$B$3,D19-Rules!$B$6),D19-Rules!$B$6)))</f>
        <v/>
      </c>
      <c r="F19" s="18">
        <f>IF(B19="","",C19-E19)</f>
        <v/>
      </c>
      <c r="G19" s="19">
        <f>IF(B19="","",IF(OR(Rules!$B$5=0,B19&gt;=0),0,-B19/Rules!$B$5))</f>
        <v/>
      </c>
      <c r="H19" s="18">
        <f>IF(B19="","",C19-Rules!$B$3)</f>
        <v/>
      </c>
      <c r="I19" s="8" t="n"/>
      <c r="J19" s="20">
        <f>IF(B19="","",IF(C19&lt;=E19,"BREACH: floor",IF(G19&gt;=1,"BREACH: daily limit",IF(F19&lt;Rules!$B$6*0.25,"Caution","OK"))))</f>
        <v/>
      </c>
    </row>
    <row r="20">
      <c r="A20" s="17" t="n"/>
      <c r="B20" s="6" t="n"/>
      <c r="C20" s="18">
        <f>IF(B20="","",Rules!$B$3+SUM($B$5:B20))</f>
        <v/>
      </c>
      <c r="D20" s="18">
        <f>IF(B20="","",MAX(Rules!$B$3,MAX($C$5:C20)))</f>
        <v/>
      </c>
      <c r="E20" s="18">
        <f>IF(B20="","",IF(Rules!$B$7="Static",Rules!$B$3-Rules!$B$6,IF(Rules!$B$8="Yes",MIN(Rules!$B$3,D20-Rules!$B$6),D20-Rules!$B$6)))</f>
        <v/>
      </c>
      <c r="F20" s="18">
        <f>IF(B20="","",C20-E20)</f>
        <v/>
      </c>
      <c r="G20" s="19">
        <f>IF(B20="","",IF(OR(Rules!$B$5=0,B20&gt;=0),0,-B20/Rules!$B$5))</f>
        <v/>
      </c>
      <c r="H20" s="18">
        <f>IF(B20="","",C20-Rules!$B$3)</f>
        <v/>
      </c>
      <c r="I20" s="8" t="n"/>
      <c r="J20" s="20">
        <f>IF(B20="","",IF(C20&lt;=E20,"BREACH: floor",IF(G20&gt;=1,"BREACH: daily limit",IF(F20&lt;Rules!$B$6*0.25,"Caution","OK"))))</f>
        <v/>
      </c>
    </row>
    <row r="21">
      <c r="A21" s="17" t="n"/>
      <c r="B21" s="6" t="n"/>
      <c r="C21" s="18">
        <f>IF(B21="","",Rules!$B$3+SUM($B$5:B21))</f>
        <v/>
      </c>
      <c r="D21" s="18">
        <f>IF(B21="","",MAX(Rules!$B$3,MAX($C$5:C21)))</f>
        <v/>
      </c>
      <c r="E21" s="18">
        <f>IF(B21="","",IF(Rules!$B$7="Static",Rules!$B$3-Rules!$B$6,IF(Rules!$B$8="Yes",MIN(Rules!$B$3,D21-Rules!$B$6),D21-Rules!$B$6)))</f>
        <v/>
      </c>
      <c r="F21" s="18">
        <f>IF(B21="","",C21-E21)</f>
        <v/>
      </c>
      <c r="G21" s="19">
        <f>IF(B21="","",IF(OR(Rules!$B$5=0,B21&gt;=0),0,-B21/Rules!$B$5))</f>
        <v/>
      </c>
      <c r="H21" s="18">
        <f>IF(B21="","",C21-Rules!$B$3)</f>
        <v/>
      </c>
      <c r="I21" s="8" t="n"/>
      <c r="J21" s="20">
        <f>IF(B21="","",IF(C21&lt;=E21,"BREACH: floor",IF(G21&gt;=1,"BREACH: daily limit",IF(F21&lt;Rules!$B$6*0.25,"Caution","OK"))))</f>
        <v/>
      </c>
    </row>
    <row r="22">
      <c r="A22" s="17" t="n"/>
      <c r="B22" s="6" t="n"/>
      <c r="C22" s="18">
        <f>IF(B22="","",Rules!$B$3+SUM($B$5:B22))</f>
        <v/>
      </c>
      <c r="D22" s="18">
        <f>IF(B22="","",MAX(Rules!$B$3,MAX($C$5:C22)))</f>
        <v/>
      </c>
      <c r="E22" s="18">
        <f>IF(B22="","",IF(Rules!$B$7="Static",Rules!$B$3-Rules!$B$6,IF(Rules!$B$8="Yes",MIN(Rules!$B$3,D22-Rules!$B$6),D22-Rules!$B$6)))</f>
        <v/>
      </c>
      <c r="F22" s="18">
        <f>IF(B22="","",C22-E22)</f>
        <v/>
      </c>
      <c r="G22" s="19">
        <f>IF(B22="","",IF(OR(Rules!$B$5=0,B22&gt;=0),0,-B22/Rules!$B$5))</f>
        <v/>
      </c>
      <c r="H22" s="18">
        <f>IF(B22="","",C22-Rules!$B$3)</f>
        <v/>
      </c>
      <c r="I22" s="8" t="n"/>
      <c r="J22" s="20">
        <f>IF(B22="","",IF(C22&lt;=E22,"BREACH: floor",IF(G22&gt;=1,"BREACH: daily limit",IF(F22&lt;Rules!$B$6*0.25,"Caution","OK"))))</f>
        <v/>
      </c>
    </row>
    <row r="23">
      <c r="A23" s="17" t="n"/>
      <c r="B23" s="6" t="n"/>
      <c r="C23" s="18">
        <f>IF(B23="","",Rules!$B$3+SUM($B$5:B23))</f>
        <v/>
      </c>
      <c r="D23" s="18">
        <f>IF(B23="","",MAX(Rules!$B$3,MAX($C$5:C23)))</f>
        <v/>
      </c>
      <c r="E23" s="18">
        <f>IF(B23="","",IF(Rules!$B$7="Static",Rules!$B$3-Rules!$B$6,IF(Rules!$B$8="Yes",MIN(Rules!$B$3,D23-Rules!$B$6),D23-Rules!$B$6)))</f>
        <v/>
      </c>
      <c r="F23" s="18">
        <f>IF(B23="","",C23-E23)</f>
        <v/>
      </c>
      <c r="G23" s="19">
        <f>IF(B23="","",IF(OR(Rules!$B$5=0,B23&gt;=0),0,-B23/Rules!$B$5))</f>
        <v/>
      </c>
      <c r="H23" s="18">
        <f>IF(B23="","",C23-Rules!$B$3)</f>
        <v/>
      </c>
      <c r="I23" s="8" t="n"/>
      <c r="J23" s="20">
        <f>IF(B23="","",IF(C23&lt;=E23,"BREACH: floor",IF(G23&gt;=1,"BREACH: daily limit",IF(F23&lt;Rules!$B$6*0.25,"Caution","OK"))))</f>
        <v/>
      </c>
    </row>
    <row r="24">
      <c r="A24" s="17" t="n"/>
      <c r="B24" s="6" t="n"/>
      <c r="C24" s="18">
        <f>IF(B24="","",Rules!$B$3+SUM($B$5:B24))</f>
        <v/>
      </c>
      <c r="D24" s="18">
        <f>IF(B24="","",MAX(Rules!$B$3,MAX($C$5:C24)))</f>
        <v/>
      </c>
      <c r="E24" s="18">
        <f>IF(B24="","",IF(Rules!$B$7="Static",Rules!$B$3-Rules!$B$6,IF(Rules!$B$8="Yes",MIN(Rules!$B$3,D24-Rules!$B$6),D24-Rules!$B$6)))</f>
        <v/>
      </c>
      <c r="F24" s="18">
        <f>IF(B24="","",C24-E24)</f>
        <v/>
      </c>
      <c r="G24" s="19">
        <f>IF(B24="","",IF(OR(Rules!$B$5=0,B24&gt;=0),0,-B24/Rules!$B$5))</f>
        <v/>
      </c>
      <c r="H24" s="18">
        <f>IF(B24="","",C24-Rules!$B$3)</f>
        <v/>
      </c>
      <c r="I24" s="8" t="n"/>
      <c r="J24" s="20">
        <f>IF(B24="","",IF(C24&lt;=E24,"BREACH: floor",IF(G24&gt;=1,"BREACH: daily limit",IF(F24&lt;Rules!$B$6*0.25,"Caution","OK"))))</f>
        <v/>
      </c>
    </row>
    <row r="25">
      <c r="A25" s="17" t="n"/>
      <c r="B25" s="6" t="n"/>
      <c r="C25" s="18">
        <f>IF(B25="","",Rules!$B$3+SUM($B$5:B25))</f>
        <v/>
      </c>
      <c r="D25" s="18">
        <f>IF(B25="","",MAX(Rules!$B$3,MAX($C$5:C25)))</f>
        <v/>
      </c>
      <c r="E25" s="18">
        <f>IF(B25="","",IF(Rules!$B$7="Static",Rules!$B$3-Rules!$B$6,IF(Rules!$B$8="Yes",MIN(Rules!$B$3,D25-Rules!$B$6),D25-Rules!$B$6)))</f>
        <v/>
      </c>
      <c r="F25" s="18">
        <f>IF(B25="","",C25-E25)</f>
        <v/>
      </c>
      <c r="G25" s="19">
        <f>IF(B25="","",IF(OR(Rules!$B$5=0,B25&gt;=0),0,-B25/Rules!$B$5))</f>
        <v/>
      </c>
      <c r="H25" s="18">
        <f>IF(B25="","",C25-Rules!$B$3)</f>
        <v/>
      </c>
      <c r="I25" s="8" t="n"/>
      <c r="J25" s="20">
        <f>IF(B25="","",IF(C25&lt;=E25,"BREACH: floor",IF(G25&gt;=1,"BREACH: daily limit",IF(F25&lt;Rules!$B$6*0.25,"Caution","OK"))))</f>
        <v/>
      </c>
    </row>
    <row r="26">
      <c r="A26" s="17" t="n"/>
      <c r="B26" s="6" t="n"/>
      <c r="C26" s="18">
        <f>IF(B26="","",Rules!$B$3+SUM($B$5:B26))</f>
        <v/>
      </c>
      <c r="D26" s="18">
        <f>IF(B26="","",MAX(Rules!$B$3,MAX($C$5:C26)))</f>
        <v/>
      </c>
      <c r="E26" s="18">
        <f>IF(B26="","",IF(Rules!$B$7="Static",Rules!$B$3-Rules!$B$6,IF(Rules!$B$8="Yes",MIN(Rules!$B$3,D26-Rules!$B$6),D26-Rules!$B$6)))</f>
        <v/>
      </c>
      <c r="F26" s="18">
        <f>IF(B26="","",C26-E26)</f>
        <v/>
      </c>
      <c r="G26" s="19">
        <f>IF(B26="","",IF(OR(Rules!$B$5=0,B26&gt;=0),0,-B26/Rules!$B$5))</f>
        <v/>
      </c>
      <c r="H26" s="18">
        <f>IF(B26="","",C26-Rules!$B$3)</f>
        <v/>
      </c>
      <c r="I26" s="8" t="n"/>
      <c r="J26" s="20">
        <f>IF(B26="","",IF(C26&lt;=E26,"BREACH: floor",IF(G26&gt;=1,"BREACH: daily limit",IF(F26&lt;Rules!$B$6*0.25,"Caution","OK"))))</f>
        <v/>
      </c>
    </row>
    <row r="27">
      <c r="A27" s="17" t="n"/>
      <c r="B27" s="6" t="n"/>
      <c r="C27" s="18">
        <f>IF(B27="","",Rules!$B$3+SUM($B$5:B27))</f>
        <v/>
      </c>
      <c r="D27" s="18">
        <f>IF(B27="","",MAX(Rules!$B$3,MAX($C$5:C27)))</f>
        <v/>
      </c>
      <c r="E27" s="18">
        <f>IF(B27="","",IF(Rules!$B$7="Static",Rules!$B$3-Rules!$B$6,IF(Rules!$B$8="Yes",MIN(Rules!$B$3,D27-Rules!$B$6),D27-Rules!$B$6)))</f>
        <v/>
      </c>
      <c r="F27" s="18">
        <f>IF(B27="","",C27-E27)</f>
        <v/>
      </c>
      <c r="G27" s="19">
        <f>IF(B27="","",IF(OR(Rules!$B$5=0,B27&gt;=0),0,-B27/Rules!$B$5))</f>
        <v/>
      </c>
      <c r="H27" s="18">
        <f>IF(B27="","",C27-Rules!$B$3)</f>
        <v/>
      </c>
      <c r="I27" s="8" t="n"/>
      <c r="J27" s="20">
        <f>IF(B27="","",IF(C27&lt;=E27,"BREACH: floor",IF(G27&gt;=1,"BREACH: daily limit",IF(F27&lt;Rules!$B$6*0.25,"Caution","OK"))))</f>
        <v/>
      </c>
    </row>
    <row r="28">
      <c r="A28" s="17" t="n"/>
      <c r="B28" s="6" t="n"/>
      <c r="C28" s="18">
        <f>IF(B28="","",Rules!$B$3+SUM($B$5:B28))</f>
        <v/>
      </c>
      <c r="D28" s="18">
        <f>IF(B28="","",MAX(Rules!$B$3,MAX($C$5:C28)))</f>
        <v/>
      </c>
      <c r="E28" s="18">
        <f>IF(B28="","",IF(Rules!$B$7="Static",Rules!$B$3-Rules!$B$6,IF(Rules!$B$8="Yes",MIN(Rules!$B$3,D28-Rules!$B$6),D28-Rules!$B$6)))</f>
        <v/>
      </c>
      <c r="F28" s="18">
        <f>IF(B28="","",C28-E28)</f>
        <v/>
      </c>
      <c r="G28" s="19">
        <f>IF(B28="","",IF(OR(Rules!$B$5=0,B28&gt;=0),0,-B28/Rules!$B$5))</f>
        <v/>
      </c>
      <c r="H28" s="18">
        <f>IF(B28="","",C28-Rules!$B$3)</f>
        <v/>
      </c>
      <c r="I28" s="8" t="n"/>
      <c r="J28" s="20">
        <f>IF(B28="","",IF(C28&lt;=E28,"BREACH: floor",IF(G28&gt;=1,"BREACH: daily limit",IF(F28&lt;Rules!$B$6*0.25,"Caution","OK"))))</f>
        <v/>
      </c>
    </row>
    <row r="29">
      <c r="A29" s="17" t="n"/>
      <c r="B29" s="6" t="n"/>
      <c r="C29" s="18">
        <f>IF(B29="","",Rules!$B$3+SUM($B$5:B29))</f>
        <v/>
      </c>
      <c r="D29" s="18">
        <f>IF(B29="","",MAX(Rules!$B$3,MAX($C$5:C29)))</f>
        <v/>
      </c>
      <c r="E29" s="18">
        <f>IF(B29="","",IF(Rules!$B$7="Static",Rules!$B$3-Rules!$B$6,IF(Rules!$B$8="Yes",MIN(Rules!$B$3,D29-Rules!$B$6),D29-Rules!$B$6)))</f>
        <v/>
      </c>
      <c r="F29" s="18">
        <f>IF(B29="","",C29-E29)</f>
        <v/>
      </c>
      <c r="G29" s="19">
        <f>IF(B29="","",IF(OR(Rules!$B$5=0,B29&gt;=0),0,-B29/Rules!$B$5))</f>
        <v/>
      </c>
      <c r="H29" s="18">
        <f>IF(B29="","",C29-Rules!$B$3)</f>
        <v/>
      </c>
      <c r="I29" s="8" t="n"/>
      <c r="J29" s="20">
        <f>IF(B29="","",IF(C29&lt;=E29,"BREACH: floor",IF(G29&gt;=1,"BREACH: daily limit",IF(F29&lt;Rules!$B$6*0.25,"Caution","OK"))))</f>
        <v/>
      </c>
    </row>
    <row r="30">
      <c r="A30" s="17" t="n"/>
      <c r="B30" s="6" t="n"/>
      <c r="C30" s="18">
        <f>IF(B30="","",Rules!$B$3+SUM($B$5:B30))</f>
        <v/>
      </c>
      <c r="D30" s="18">
        <f>IF(B30="","",MAX(Rules!$B$3,MAX($C$5:C30)))</f>
        <v/>
      </c>
      <c r="E30" s="18">
        <f>IF(B30="","",IF(Rules!$B$7="Static",Rules!$B$3-Rules!$B$6,IF(Rules!$B$8="Yes",MIN(Rules!$B$3,D30-Rules!$B$6),D30-Rules!$B$6)))</f>
        <v/>
      </c>
      <c r="F30" s="18">
        <f>IF(B30="","",C30-E30)</f>
        <v/>
      </c>
      <c r="G30" s="19">
        <f>IF(B30="","",IF(OR(Rules!$B$5=0,B30&gt;=0),0,-B30/Rules!$B$5))</f>
        <v/>
      </c>
      <c r="H30" s="18">
        <f>IF(B30="","",C30-Rules!$B$3)</f>
        <v/>
      </c>
      <c r="I30" s="8" t="n"/>
      <c r="J30" s="20">
        <f>IF(B30="","",IF(C30&lt;=E30,"BREACH: floor",IF(G30&gt;=1,"BREACH: daily limit",IF(F30&lt;Rules!$B$6*0.25,"Caution","OK"))))</f>
        <v/>
      </c>
    </row>
    <row r="31">
      <c r="A31" s="17" t="n"/>
      <c r="B31" s="6" t="n"/>
      <c r="C31" s="18">
        <f>IF(B31="","",Rules!$B$3+SUM($B$5:B31))</f>
        <v/>
      </c>
      <c r="D31" s="18">
        <f>IF(B31="","",MAX(Rules!$B$3,MAX($C$5:C31)))</f>
        <v/>
      </c>
      <c r="E31" s="18">
        <f>IF(B31="","",IF(Rules!$B$7="Static",Rules!$B$3-Rules!$B$6,IF(Rules!$B$8="Yes",MIN(Rules!$B$3,D31-Rules!$B$6),D31-Rules!$B$6)))</f>
        <v/>
      </c>
      <c r="F31" s="18">
        <f>IF(B31="","",C31-E31)</f>
        <v/>
      </c>
      <c r="G31" s="19">
        <f>IF(B31="","",IF(OR(Rules!$B$5=0,B31&gt;=0),0,-B31/Rules!$B$5))</f>
        <v/>
      </c>
      <c r="H31" s="18">
        <f>IF(B31="","",C31-Rules!$B$3)</f>
        <v/>
      </c>
      <c r="I31" s="8" t="n"/>
      <c r="J31" s="20">
        <f>IF(B31="","",IF(C31&lt;=E31,"BREACH: floor",IF(G31&gt;=1,"BREACH: daily limit",IF(F31&lt;Rules!$B$6*0.25,"Caution","OK"))))</f>
        <v/>
      </c>
    </row>
    <row r="32">
      <c r="A32" s="17" t="n"/>
      <c r="B32" s="6" t="n"/>
      <c r="C32" s="18">
        <f>IF(B32="","",Rules!$B$3+SUM($B$5:B32))</f>
        <v/>
      </c>
      <c r="D32" s="18">
        <f>IF(B32="","",MAX(Rules!$B$3,MAX($C$5:C32)))</f>
        <v/>
      </c>
      <c r="E32" s="18">
        <f>IF(B32="","",IF(Rules!$B$7="Static",Rules!$B$3-Rules!$B$6,IF(Rules!$B$8="Yes",MIN(Rules!$B$3,D32-Rules!$B$6),D32-Rules!$B$6)))</f>
        <v/>
      </c>
      <c r="F32" s="18">
        <f>IF(B32="","",C32-E32)</f>
        <v/>
      </c>
      <c r="G32" s="19">
        <f>IF(B32="","",IF(OR(Rules!$B$5=0,B32&gt;=0),0,-B32/Rules!$B$5))</f>
        <v/>
      </c>
      <c r="H32" s="18">
        <f>IF(B32="","",C32-Rules!$B$3)</f>
        <v/>
      </c>
      <c r="I32" s="8" t="n"/>
      <c r="J32" s="20">
        <f>IF(B32="","",IF(C32&lt;=E32,"BREACH: floor",IF(G32&gt;=1,"BREACH: daily limit",IF(F32&lt;Rules!$B$6*0.25,"Caution","OK"))))</f>
        <v/>
      </c>
    </row>
    <row r="33">
      <c r="A33" s="17" t="n"/>
      <c r="B33" s="6" t="n"/>
      <c r="C33" s="18">
        <f>IF(B33="","",Rules!$B$3+SUM($B$5:B33))</f>
        <v/>
      </c>
      <c r="D33" s="18">
        <f>IF(B33="","",MAX(Rules!$B$3,MAX($C$5:C33)))</f>
        <v/>
      </c>
      <c r="E33" s="18">
        <f>IF(B33="","",IF(Rules!$B$7="Static",Rules!$B$3-Rules!$B$6,IF(Rules!$B$8="Yes",MIN(Rules!$B$3,D33-Rules!$B$6),D33-Rules!$B$6)))</f>
        <v/>
      </c>
      <c r="F33" s="18">
        <f>IF(B33="","",C33-E33)</f>
        <v/>
      </c>
      <c r="G33" s="19">
        <f>IF(B33="","",IF(OR(Rules!$B$5=0,B33&gt;=0),0,-B33/Rules!$B$5))</f>
        <v/>
      </c>
      <c r="H33" s="18">
        <f>IF(B33="","",C33-Rules!$B$3)</f>
        <v/>
      </c>
      <c r="I33" s="8" t="n"/>
      <c r="J33" s="20">
        <f>IF(B33="","",IF(C33&lt;=E33,"BREACH: floor",IF(G33&gt;=1,"BREACH: daily limit",IF(F33&lt;Rules!$B$6*0.25,"Caution","OK"))))</f>
        <v/>
      </c>
    </row>
    <row r="34">
      <c r="A34" s="17" t="n"/>
      <c r="B34" s="6" t="n"/>
      <c r="C34" s="18">
        <f>IF(B34="","",Rules!$B$3+SUM($B$5:B34))</f>
        <v/>
      </c>
      <c r="D34" s="18">
        <f>IF(B34="","",MAX(Rules!$B$3,MAX($C$5:C34)))</f>
        <v/>
      </c>
      <c r="E34" s="18">
        <f>IF(B34="","",IF(Rules!$B$7="Static",Rules!$B$3-Rules!$B$6,IF(Rules!$B$8="Yes",MIN(Rules!$B$3,D34-Rules!$B$6),D34-Rules!$B$6)))</f>
        <v/>
      </c>
      <c r="F34" s="18">
        <f>IF(B34="","",C34-E34)</f>
        <v/>
      </c>
      <c r="G34" s="19">
        <f>IF(B34="","",IF(OR(Rules!$B$5=0,B34&gt;=0),0,-B34/Rules!$B$5))</f>
        <v/>
      </c>
      <c r="H34" s="18">
        <f>IF(B34="","",C34-Rules!$B$3)</f>
        <v/>
      </c>
      <c r="I34" s="8" t="n"/>
      <c r="J34" s="20">
        <f>IF(B34="","",IF(C34&lt;=E34,"BREACH: floor",IF(G34&gt;=1,"BREACH: daily limit",IF(F34&lt;Rules!$B$6*0.25,"Caution","OK"))))</f>
        <v/>
      </c>
    </row>
    <row r="35">
      <c r="A35" s="17" t="n"/>
      <c r="B35" s="6" t="n"/>
      <c r="C35" s="18">
        <f>IF(B35="","",Rules!$B$3+SUM($B$5:B35))</f>
        <v/>
      </c>
      <c r="D35" s="18">
        <f>IF(B35="","",MAX(Rules!$B$3,MAX($C$5:C35)))</f>
        <v/>
      </c>
      <c r="E35" s="18">
        <f>IF(B35="","",IF(Rules!$B$7="Static",Rules!$B$3-Rules!$B$6,IF(Rules!$B$8="Yes",MIN(Rules!$B$3,D35-Rules!$B$6),D35-Rules!$B$6)))</f>
        <v/>
      </c>
      <c r="F35" s="18">
        <f>IF(B35="","",C35-E35)</f>
        <v/>
      </c>
      <c r="G35" s="19">
        <f>IF(B35="","",IF(OR(Rules!$B$5=0,B35&gt;=0),0,-B35/Rules!$B$5))</f>
        <v/>
      </c>
      <c r="H35" s="18">
        <f>IF(B35="","",C35-Rules!$B$3)</f>
        <v/>
      </c>
      <c r="I35" s="8" t="n"/>
      <c r="J35" s="20">
        <f>IF(B35="","",IF(C35&lt;=E35,"BREACH: floor",IF(G35&gt;=1,"BREACH: daily limit",IF(F35&lt;Rules!$B$6*0.25,"Caution","OK"))))</f>
        <v/>
      </c>
    </row>
    <row r="36">
      <c r="A36" s="17" t="n"/>
      <c r="B36" s="6" t="n"/>
      <c r="C36" s="18">
        <f>IF(B36="","",Rules!$B$3+SUM($B$5:B36))</f>
        <v/>
      </c>
      <c r="D36" s="18">
        <f>IF(B36="","",MAX(Rules!$B$3,MAX($C$5:C36)))</f>
        <v/>
      </c>
      <c r="E36" s="18">
        <f>IF(B36="","",IF(Rules!$B$7="Static",Rules!$B$3-Rules!$B$6,IF(Rules!$B$8="Yes",MIN(Rules!$B$3,D36-Rules!$B$6),D36-Rules!$B$6)))</f>
        <v/>
      </c>
      <c r="F36" s="18">
        <f>IF(B36="","",C36-E36)</f>
        <v/>
      </c>
      <c r="G36" s="19">
        <f>IF(B36="","",IF(OR(Rules!$B$5=0,B36&gt;=0),0,-B36/Rules!$B$5))</f>
        <v/>
      </c>
      <c r="H36" s="18">
        <f>IF(B36="","",C36-Rules!$B$3)</f>
        <v/>
      </c>
      <c r="I36" s="8" t="n"/>
      <c r="J36" s="20">
        <f>IF(B36="","",IF(C36&lt;=E36,"BREACH: floor",IF(G36&gt;=1,"BREACH: daily limit",IF(F36&lt;Rules!$B$6*0.25,"Caution","OK"))))</f>
        <v/>
      </c>
    </row>
    <row r="37">
      <c r="A37" s="17" t="n"/>
      <c r="B37" s="6" t="n"/>
      <c r="C37" s="18">
        <f>IF(B37="","",Rules!$B$3+SUM($B$5:B37))</f>
        <v/>
      </c>
      <c r="D37" s="18">
        <f>IF(B37="","",MAX(Rules!$B$3,MAX($C$5:C37)))</f>
        <v/>
      </c>
      <c r="E37" s="18">
        <f>IF(B37="","",IF(Rules!$B$7="Static",Rules!$B$3-Rules!$B$6,IF(Rules!$B$8="Yes",MIN(Rules!$B$3,D37-Rules!$B$6),D37-Rules!$B$6)))</f>
        <v/>
      </c>
      <c r="F37" s="18">
        <f>IF(B37="","",C37-E37)</f>
        <v/>
      </c>
      <c r="G37" s="19">
        <f>IF(B37="","",IF(OR(Rules!$B$5=0,B37&gt;=0),0,-B37/Rules!$B$5))</f>
        <v/>
      </c>
      <c r="H37" s="18">
        <f>IF(B37="","",C37-Rules!$B$3)</f>
        <v/>
      </c>
      <c r="I37" s="8" t="n"/>
      <c r="J37" s="20">
        <f>IF(B37="","",IF(C37&lt;=E37,"BREACH: floor",IF(G37&gt;=1,"BREACH: daily limit",IF(F37&lt;Rules!$B$6*0.25,"Caution","OK"))))</f>
        <v/>
      </c>
    </row>
    <row r="38">
      <c r="A38" s="17" t="n"/>
      <c r="B38" s="6" t="n"/>
      <c r="C38" s="18">
        <f>IF(B38="","",Rules!$B$3+SUM($B$5:B38))</f>
        <v/>
      </c>
      <c r="D38" s="18">
        <f>IF(B38="","",MAX(Rules!$B$3,MAX($C$5:C38)))</f>
        <v/>
      </c>
      <c r="E38" s="18">
        <f>IF(B38="","",IF(Rules!$B$7="Static",Rules!$B$3-Rules!$B$6,IF(Rules!$B$8="Yes",MIN(Rules!$B$3,D38-Rules!$B$6),D38-Rules!$B$6)))</f>
        <v/>
      </c>
      <c r="F38" s="18">
        <f>IF(B38="","",C38-E38)</f>
        <v/>
      </c>
      <c r="G38" s="19">
        <f>IF(B38="","",IF(OR(Rules!$B$5=0,B38&gt;=0),0,-B38/Rules!$B$5))</f>
        <v/>
      </c>
      <c r="H38" s="18">
        <f>IF(B38="","",C38-Rules!$B$3)</f>
        <v/>
      </c>
      <c r="I38" s="8" t="n"/>
      <c r="J38" s="20">
        <f>IF(B38="","",IF(C38&lt;=E38,"BREACH: floor",IF(G38&gt;=1,"BREACH: daily limit",IF(F38&lt;Rules!$B$6*0.25,"Caution","OK"))))</f>
        <v/>
      </c>
    </row>
    <row r="39">
      <c r="A39" s="17" t="n"/>
      <c r="B39" s="6" t="n"/>
      <c r="C39" s="18">
        <f>IF(B39="","",Rules!$B$3+SUM($B$5:B39))</f>
        <v/>
      </c>
      <c r="D39" s="18">
        <f>IF(B39="","",MAX(Rules!$B$3,MAX($C$5:C39)))</f>
        <v/>
      </c>
      <c r="E39" s="18">
        <f>IF(B39="","",IF(Rules!$B$7="Static",Rules!$B$3-Rules!$B$6,IF(Rules!$B$8="Yes",MIN(Rules!$B$3,D39-Rules!$B$6),D39-Rules!$B$6)))</f>
        <v/>
      </c>
      <c r="F39" s="18">
        <f>IF(B39="","",C39-E39)</f>
        <v/>
      </c>
      <c r="G39" s="19">
        <f>IF(B39="","",IF(OR(Rules!$B$5=0,B39&gt;=0),0,-B39/Rules!$B$5))</f>
        <v/>
      </c>
      <c r="H39" s="18">
        <f>IF(B39="","",C39-Rules!$B$3)</f>
        <v/>
      </c>
      <c r="I39" s="8" t="n"/>
      <c r="J39" s="20">
        <f>IF(B39="","",IF(C39&lt;=E39,"BREACH: floor",IF(G39&gt;=1,"BREACH: daily limit",IF(F39&lt;Rules!$B$6*0.25,"Caution","OK"))))</f>
        <v/>
      </c>
    </row>
    <row r="40">
      <c r="A40" s="17" t="n"/>
      <c r="B40" s="6" t="n"/>
      <c r="C40" s="18">
        <f>IF(B40="","",Rules!$B$3+SUM($B$5:B40))</f>
        <v/>
      </c>
      <c r="D40" s="18">
        <f>IF(B40="","",MAX(Rules!$B$3,MAX($C$5:C40)))</f>
        <v/>
      </c>
      <c r="E40" s="18">
        <f>IF(B40="","",IF(Rules!$B$7="Static",Rules!$B$3-Rules!$B$6,IF(Rules!$B$8="Yes",MIN(Rules!$B$3,D40-Rules!$B$6),D40-Rules!$B$6)))</f>
        <v/>
      </c>
      <c r="F40" s="18">
        <f>IF(B40="","",C40-E40)</f>
        <v/>
      </c>
      <c r="G40" s="19">
        <f>IF(B40="","",IF(OR(Rules!$B$5=0,B40&gt;=0),0,-B40/Rules!$B$5))</f>
        <v/>
      </c>
      <c r="H40" s="18">
        <f>IF(B40="","",C40-Rules!$B$3)</f>
        <v/>
      </c>
      <c r="I40" s="8" t="n"/>
      <c r="J40" s="20">
        <f>IF(B40="","",IF(C40&lt;=E40,"BREACH: floor",IF(G40&gt;=1,"BREACH: daily limit",IF(F40&lt;Rules!$B$6*0.25,"Caution","OK"))))</f>
        <v/>
      </c>
    </row>
    <row r="41">
      <c r="A41" s="17" t="n"/>
      <c r="B41" s="6" t="n"/>
      <c r="C41" s="18">
        <f>IF(B41="","",Rules!$B$3+SUM($B$5:B41))</f>
        <v/>
      </c>
      <c r="D41" s="18">
        <f>IF(B41="","",MAX(Rules!$B$3,MAX($C$5:C41)))</f>
        <v/>
      </c>
      <c r="E41" s="18">
        <f>IF(B41="","",IF(Rules!$B$7="Static",Rules!$B$3-Rules!$B$6,IF(Rules!$B$8="Yes",MIN(Rules!$B$3,D41-Rules!$B$6),D41-Rules!$B$6)))</f>
        <v/>
      </c>
      <c r="F41" s="18">
        <f>IF(B41="","",C41-E41)</f>
        <v/>
      </c>
      <c r="G41" s="19">
        <f>IF(B41="","",IF(OR(Rules!$B$5=0,B41&gt;=0),0,-B41/Rules!$B$5))</f>
        <v/>
      </c>
      <c r="H41" s="18">
        <f>IF(B41="","",C41-Rules!$B$3)</f>
        <v/>
      </c>
      <c r="I41" s="8" t="n"/>
      <c r="J41" s="20">
        <f>IF(B41="","",IF(C41&lt;=E41,"BREACH: floor",IF(G41&gt;=1,"BREACH: daily limit",IF(F41&lt;Rules!$B$6*0.25,"Caution","OK"))))</f>
        <v/>
      </c>
    </row>
    <row r="42">
      <c r="A42" s="17" t="n"/>
      <c r="B42" s="6" t="n"/>
      <c r="C42" s="18">
        <f>IF(B42="","",Rules!$B$3+SUM($B$5:B42))</f>
        <v/>
      </c>
      <c r="D42" s="18">
        <f>IF(B42="","",MAX(Rules!$B$3,MAX($C$5:C42)))</f>
        <v/>
      </c>
      <c r="E42" s="18">
        <f>IF(B42="","",IF(Rules!$B$7="Static",Rules!$B$3-Rules!$B$6,IF(Rules!$B$8="Yes",MIN(Rules!$B$3,D42-Rules!$B$6),D42-Rules!$B$6)))</f>
        <v/>
      </c>
      <c r="F42" s="18">
        <f>IF(B42="","",C42-E42)</f>
        <v/>
      </c>
      <c r="G42" s="19">
        <f>IF(B42="","",IF(OR(Rules!$B$5=0,B42&gt;=0),0,-B42/Rules!$B$5))</f>
        <v/>
      </c>
      <c r="H42" s="18">
        <f>IF(B42="","",C42-Rules!$B$3)</f>
        <v/>
      </c>
      <c r="I42" s="8" t="n"/>
      <c r="J42" s="20">
        <f>IF(B42="","",IF(C42&lt;=E42,"BREACH: floor",IF(G42&gt;=1,"BREACH: daily limit",IF(F42&lt;Rules!$B$6*0.25,"Caution","OK"))))</f>
        <v/>
      </c>
    </row>
    <row r="43">
      <c r="A43" s="17" t="n"/>
      <c r="B43" s="6" t="n"/>
      <c r="C43" s="18">
        <f>IF(B43="","",Rules!$B$3+SUM($B$5:B43))</f>
        <v/>
      </c>
      <c r="D43" s="18">
        <f>IF(B43="","",MAX(Rules!$B$3,MAX($C$5:C43)))</f>
        <v/>
      </c>
      <c r="E43" s="18">
        <f>IF(B43="","",IF(Rules!$B$7="Static",Rules!$B$3-Rules!$B$6,IF(Rules!$B$8="Yes",MIN(Rules!$B$3,D43-Rules!$B$6),D43-Rules!$B$6)))</f>
        <v/>
      </c>
      <c r="F43" s="18">
        <f>IF(B43="","",C43-E43)</f>
        <v/>
      </c>
      <c r="G43" s="19">
        <f>IF(B43="","",IF(OR(Rules!$B$5=0,B43&gt;=0),0,-B43/Rules!$B$5))</f>
        <v/>
      </c>
      <c r="H43" s="18">
        <f>IF(B43="","",C43-Rules!$B$3)</f>
        <v/>
      </c>
      <c r="I43" s="8" t="n"/>
      <c r="J43" s="20">
        <f>IF(B43="","",IF(C43&lt;=E43,"BREACH: floor",IF(G43&gt;=1,"BREACH: daily limit",IF(F43&lt;Rules!$B$6*0.25,"Caution","OK"))))</f>
        <v/>
      </c>
    </row>
    <row r="44">
      <c r="A44" s="17" t="n"/>
      <c r="B44" s="6" t="n"/>
      <c r="C44" s="18">
        <f>IF(B44="","",Rules!$B$3+SUM($B$5:B44))</f>
        <v/>
      </c>
      <c r="D44" s="18">
        <f>IF(B44="","",MAX(Rules!$B$3,MAX($C$5:C44)))</f>
        <v/>
      </c>
      <c r="E44" s="18">
        <f>IF(B44="","",IF(Rules!$B$7="Static",Rules!$B$3-Rules!$B$6,IF(Rules!$B$8="Yes",MIN(Rules!$B$3,D44-Rules!$B$6),D44-Rules!$B$6)))</f>
        <v/>
      </c>
      <c r="F44" s="18">
        <f>IF(B44="","",C44-E44)</f>
        <v/>
      </c>
      <c r="G44" s="19">
        <f>IF(B44="","",IF(OR(Rules!$B$5=0,B44&gt;=0),0,-B44/Rules!$B$5))</f>
        <v/>
      </c>
      <c r="H44" s="18">
        <f>IF(B44="","",C44-Rules!$B$3)</f>
        <v/>
      </c>
      <c r="I44" s="8" t="n"/>
      <c r="J44" s="20">
        <f>IF(B44="","",IF(C44&lt;=E44,"BREACH: floor",IF(G44&gt;=1,"BREACH: daily limit",IF(F44&lt;Rules!$B$6*0.25,"Caution","OK"))))</f>
        <v/>
      </c>
    </row>
    <row r="45">
      <c r="A45" s="17" t="n"/>
      <c r="B45" s="6" t="n"/>
      <c r="C45" s="18">
        <f>IF(B45="","",Rules!$B$3+SUM($B$5:B45))</f>
        <v/>
      </c>
      <c r="D45" s="18">
        <f>IF(B45="","",MAX(Rules!$B$3,MAX($C$5:C45)))</f>
        <v/>
      </c>
      <c r="E45" s="18">
        <f>IF(B45="","",IF(Rules!$B$7="Static",Rules!$B$3-Rules!$B$6,IF(Rules!$B$8="Yes",MIN(Rules!$B$3,D45-Rules!$B$6),D45-Rules!$B$6)))</f>
        <v/>
      </c>
      <c r="F45" s="18">
        <f>IF(B45="","",C45-E45)</f>
        <v/>
      </c>
      <c r="G45" s="19">
        <f>IF(B45="","",IF(OR(Rules!$B$5=0,B45&gt;=0),0,-B45/Rules!$B$5))</f>
        <v/>
      </c>
      <c r="H45" s="18">
        <f>IF(B45="","",C45-Rules!$B$3)</f>
        <v/>
      </c>
      <c r="I45" s="8" t="n"/>
      <c r="J45" s="20">
        <f>IF(B45="","",IF(C45&lt;=E45,"BREACH: floor",IF(G45&gt;=1,"BREACH: daily limit",IF(F45&lt;Rules!$B$6*0.25,"Caution","OK"))))</f>
        <v/>
      </c>
    </row>
    <row r="46">
      <c r="A46" s="17" t="n"/>
      <c r="B46" s="6" t="n"/>
      <c r="C46" s="18">
        <f>IF(B46="","",Rules!$B$3+SUM($B$5:B46))</f>
        <v/>
      </c>
      <c r="D46" s="18">
        <f>IF(B46="","",MAX(Rules!$B$3,MAX($C$5:C46)))</f>
        <v/>
      </c>
      <c r="E46" s="18">
        <f>IF(B46="","",IF(Rules!$B$7="Static",Rules!$B$3-Rules!$B$6,IF(Rules!$B$8="Yes",MIN(Rules!$B$3,D46-Rules!$B$6),D46-Rules!$B$6)))</f>
        <v/>
      </c>
      <c r="F46" s="18">
        <f>IF(B46="","",C46-E46)</f>
        <v/>
      </c>
      <c r="G46" s="19">
        <f>IF(B46="","",IF(OR(Rules!$B$5=0,B46&gt;=0),0,-B46/Rules!$B$5))</f>
        <v/>
      </c>
      <c r="H46" s="18">
        <f>IF(B46="","",C46-Rules!$B$3)</f>
        <v/>
      </c>
      <c r="I46" s="8" t="n"/>
      <c r="J46" s="20">
        <f>IF(B46="","",IF(C46&lt;=E46,"BREACH: floor",IF(G46&gt;=1,"BREACH: daily limit",IF(F46&lt;Rules!$B$6*0.25,"Caution","OK"))))</f>
        <v/>
      </c>
    </row>
    <row r="47">
      <c r="A47" s="17" t="n"/>
      <c r="B47" s="6" t="n"/>
      <c r="C47" s="18">
        <f>IF(B47="","",Rules!$B$3+SUM($B$5:B47))</f>
        <v/>
      </c>
      <c r="D47" s="18">
        <f>IF(B47="","",MAX(Rules!$B$3,MAX($C$5:C47)))</f>
        <v/>
      </c>
      <c r="E47" s="18">
        <f>IF(B47="","",IF(Rules!$B$7="Static",Rules!$B$3-Rules!$B$6,IF(Rules!$B$8="Yes",MIN(Rules!$B$3,D47-Rules!$B$6),D47-Rules!$B$6)))</f>
        <v/>
      </c>
      <c r="F47" s="18">
        <f>IF(B47="","",C47-E47)</f>
        <v/>
      </c>
      <c r="G47" s="19">
        <f>IF(B47="","",IF(OR(Rules!$B$5=0,B47&gt;=0),0,-B47/Rules!$B$5))</f>
        <v/>
      </c>
      <c r="H47" s="18">
        <f>IF(B47="","",C47-Rules!$B$3)</f>
        <v/>
      </c>
      <c r="I47" s="8" t="n"/>
      <c r="J47" s="20">
        <f>IF(B47="","",IF(C47&lt;=E47,"BREACH: floor",IF(G47&gt;=1,"BREACH: daily limit",IF(F47&lt;Rules!$B$6*0.25,"Caution","OK"))))</f>
        <v/>
      </c>
    </row>
    <row r="48">
      <c r="A48" s="17" t="n"/>
      <c r="B48" s="6" t="n"/>
      <c r="C48" s="18">
        <f>IF(B48="","",Rules!$B$3+SUM($B$5:B48))</f>
        <v/>
      </c>
      <c r="D48" s="18">
        <f>IF(B48="","",MAX(Rules!$B$3,MAX($C$5:C48)))</f>
        <v/>
      </c>
      <c r="E48" s="18">
        <f>IF(B48="","",IF(Rules!$B$7="Static",Rules!$B$3-Rules!$B$6,IF(Rules!$B$8="Yes",MIN(Rules!$B$3,D48-Rules!$B$6),D48-Rules!$B$6)))</f>
        <v/>
      </c>
      <c r="F48" s="18">
        <f>IF(B48="","",C48-E48)</f>
        <v/>
      </c>
      <c r="G48" s="19">
        <f>IF(B48="","",IF(OR(Rules!$B$5=0,B48&gt;=0),0,-B48/Rules!$B$5))</f>
        <v/>
      </c>
      <c r="H48" s="18">
        <f>IF(B48="","",C48-Rules!$B$3)</f>
        <v/>
      </c>
      <c r="I48" s="8" t="n"/>
      <c r="J48" s="20">
        <f>IF(B48="","",IF(C48&lt;=E48,"BREACH: floor",IF(G48&gt;=1,"BREACH: daily limit",IF(F48&lt;Rules!$B$6*0.25,"Caution","OK"))))</f>
        <v/>
      </c>
    </row>
    <row r="49">
      <c r="A49" s="17" t="n"/>
      <c r="B49" s="6" t="n"/>
      <c r="C49" s="18">
        <f>IF(B49="","",Rules!$B$3+SUM($B$5:B49))</f>
        <v/>
      </c>
      <c r="D49" s="18">
        <f>IF(B49="","",MAX(Rules!$B$3,MAX($C$5:C49)))</f>
        <v/>
      </c>
      <c r="E49" s="18">
        <f>IF(B49="","",IF(Rules!$B$7="Static",Rules!$B$3-Rules!$B$6,IF(Rules!$B$8="Yes",MIN(Rules!$B$3,D49-Rules!$B$6),D49-Rules!$B$6)))</f>
        <v/>
      </c>
      <c r="F49" s="18">
        <f>IF(B49="","",C49-E49)</f>
        <v/>
      </c>
      <c r="G49" s="19">
        <f>IF(B49="","",IF(OR(Rules!$B$5=0,B49&gt;=0),0,-B49/Rules!$B$5))</f>
        <v/>
      </c>
      <c r="H49" s="18">
        <f>IF(B49="","",C49-Rules!$B$3)</f>
        <v/>
      </c>
      <c r="I49" s="8" t="n"/>
      <c r="J49" s="20">
        <f>IF(B49="","",IF(C49&lt;=E49,"BREACH: floor",IF(G49&gt;=1,"BREACH: daily limit",IF(F49&lt;Rules!$B$6*0.25,"Caution","OK"))))</f>
        <v/>
      </c>
    </row>
    <row r="50">
      <c r="A50" s="17" t="n"/>
      <c r="B50" s="6" t="n"/>
      <c r="C50" s="18">
        <f>IF(B50="","",Rules!$B$3+SUM($B$5:B50))</f>
        <v/>
      </c>
      <c r="D50" s="18">
        <f>IF(B50="","",MAX(Rules!$B$3,MAX($C$5:C50)))</f>
        <v/>
      </c>
      <c r="E50" s="18">
        <f>IF(B50="","",IF(Rules!$B$7="Static",Rules!$B$3-Rules!$B$6,IF(Rules!$B$8="Yes",MIN(Rules!$B$3,D50-Rules!$B$6),D50-Rules!$B$6)))</f>
        <v/>
      </c>
      <c r="F50" s="18">
        <f>IF(B50="","",C50-E50)</f>
        <v/>
      </c>
      <c r="G50" s="19">
        <f>IF(B50="","",IF(OR(Rules!$B$5=0,B50&gt;=0),0,-B50/Rules!$B$5))</f>
        <v/>
      </c>
      <c r="H50" s="18">
        <f>IF(B50="","",C50-Rules!$B$3)</f>
        <v/>
      </c>
      <c r="I50" s="8" t="n"/>
      <c r="J50" s="20">
        <f>IF(B50="","",IF(C50&lt;=E50,"BREACH: floor",IF(G50&gt;=1,"BREACH: daily limit",IF(F50&lt;Rules!$B$6*0.25,"Caution","OK"))))</f>
        <v/>
      </c>
    </row>
    <row r="51">
      <c r="A51" s="17" t="n"/>
      <c r="B51" s="6" t="n"/>
      <c r="C51" s="18">
        <f>IF(B51="","",Rules!$B$3+SUM($B$5:B51))</f>
        <v/>
      </c>
      <c r="D51" s="18">
        <f>IF(B51="","",MAX(Rules!$B$3,MAX($C$5:C51)))</f>
        <v/>
      </c>
      <c r="E51" s="18">
        <f>IF(B51="","",IF(Rules!$B$7="Static",Rules!$B$3-Rules!$B$6,IF(Rules!$B$8="Yes",MIN(Rules!$B$3,D51-Rules!$B$6),D51-Rules!$B$6)))</f>
        <v/>
      </c>
      <c r="F51" s="18">
        <f>IF(B51="","",C51-E51)</f>
        <v/>
      </c>
      <c r="G51" s="19">
        <f>IF(B51="","",IF(OR(Rules!$B$5=0,B51&gt;=0),0,-B51/Rules!$B$5))</f>
        <v/>
      </c>
      <c r="H51" s="18">
        <f>IF(B51="","",C51-Rules!$B$3)</f>
        <v/>
      </c>
      <c r="I51" s="8" t="n"/>
      <c r="J51" s="20">
        <f>IF(B51="","",IF(C51&lt;=E51,"BREACH: floor",IF(G51&gt;=1,"BREACH: daily limit",IF(F51&lt;Rules!$B$6*0.25,"Caution","OK"))))</f>
        <v/>
      </c>
    </row>
    <row r="52">
      <c r="A52" s="17" t="n"/>
      <c r="B52" s="6" t="n"/>
      <c r="C52" s="18">
        <f>IF(B52="","",Rules!$B$3+SUM($B$5:B52))</f>
        <v/>
      </c>
      <c r="D52" s="18">
        <f>IF(B52="","",MAX(Rules!$B$3,MAX($C$5:C52)))</f>
        <v/>
      </c>
      <c r="E52" s="18">
        <f>IF(B52="","",IF(Rules!$B$7="Static",Rules!$B$3-Rules!$B$6,IF(Rules!$B$8="Yes",MIN(Rules!$B$3,D52-Rules!$B$6),D52-Rules!$B$6)))</f>
        <v/>
      </c>
      <c r="F52" s="18">
        <f>IF(B52="","",C52-E52)</f>
        <v/>
      </c>
      <c r="G52" s="19">
        <f>IF(B52="","",IF(OR(Rules!$B$5=0,B52&gt;=0),0,-B52/Rules!$B$5))</f>
        <v/>
      </c>
      <c r="H52" s="18">
        <f>IF(B52="","",C52-Rules!$B$3)</f>
        <v/>
      </c>
      <c r="I52" s="8" t="n"/>
      <c r="J52" s="20">
        <f>IF(B52="","",IF(C52&lt;=E52,"BREACH: floor",IF(G52&gt;=1,"BREACH: daily limit",IF(F52&lt;Rules!$B$6*0.25,"Caution","OK"))))</f>
        <v/>
      </c>
    </row>
    <row r="53">
      <c r="A53" s="17" t="n"/>
      <c r="B53" s="6" t="n"/>
      <c r="C53" s="18">
        <f>IF(B53="","",Rules!$B$3+SUM($B$5:B53))</f>
        <v/>
      </c>
      <c r="D53" s="18">
        <f>IF(B53="","",MAX(Rules!$B$3,MAX($C$5:C53)))</f>
        <v/>
      </c>
      <c r="E53" s="18">
        <f>IF(B53="","",IF(Rules!$B$7="Static",Rules!$B$3-Rules!$B$6,IF(Rules!$B$8="Yes",MIN(Rules!$B$3,D53-Rules!$B$6),D53-Rules!$B$6)))</f>
        <v/>
      </c>
      <c r="F53" s="18">
        <f>IF(B53="","",C53-E53)</f>
        <v/>
      </c>
      <c r="G53" s="19">
        <f>IF(B53="","",IF(OR(Rules!$B$5=0,B53&gt;=0),0,-B53/Rules!$B$5))</f>
        <v/>
      </c>
      <c r="H53" s="18">
        <f>IF(B53="","",C53-Rules!$B$3)</f>
        <v/>
      </c>
      <c r="I53" s="8" t="n"/>
      <c r="J53" s="20">
        <f>IF(B53="","",IF(C53&lt;=E53,"BREACH: floor",IF(G53&gt;=1,"BREACH: daily limit",IF(F53&lt;Rules!$B$6*0.25,"Caution","OK"))))</f>
        <v/>
      </c>
    </row>
    <row r="54">
      <c r="A54" s="17" t="n"/>
      <c r="B54" s="6" t="n"/>
      <c r="C54" s="18">
        <f>IF(B54="","",Rules!$B$3+SUM($B$5:B54))</f>
        <v/>
      </c>
      <c r="D54" s="18">
        <f>IF(B54="","",MAX(Rules!$B$3,MAX($C$5:C54)))</f>
        <v/>
      </c>
      <c r="E54" s="18">
        <f>IF(B54="","",IF(Rules!$B$7="Static",Rules!$B$3-Rules!$B$6,IF(Rules!$B$8="Yes",MIN(Rules!$B$3,D54-Rules!$B$6),D54-Rules!$B$6)))</f>
        <v/>
      </c>
      <c r="F54" s="18">
        <f>IF(B54="","",C54-E54)</f>
        <v/>
      </c>
      <c r="G54" s="19">
        <f>IF(B54="","",IF(OR(Rules!$B$5=0,B54&gt;=0),0,-B54/Rules!$B$5))</f>
        <v/>
      </c>
      <c r="H54" s="18">
        <f>IF(B54="","",C54-Rules!$B$3)</f>
        <v/>
      </c>
      <c r="I54" s="8" t="n"/>
      <c r="J54" s="20">
        <f>IF(B54="","",IF(C54&lt;=E54,"BREACH: floor",IF(G54&gt;=1,"BREACH: daily limit",IF(F54&lt;Rules!$B$6*0.25,"Caution","OK"))))</f>
        <v/>
      </c>
    </row>
    <row r="55">
      <c r="A55" s="17" t="n"/>
      <c r="B55" s="6" t="n"/>
      <c r="C55" s="18">
        <f>IF(B55="","",Rules!$B$3+SUM($B$5:B55))</f>
        <v/>
      </c>
      <c r="D55" s="18">
        <f>IF(B55="","",MAX(Rules!$B$3,MAX($C$5:C55)))</f>
        <v/>
      </c>
      <c r="E55" s="18">
        <f>IF(B55="","",IF(Rules!$B$7="Static",Rules!$B$3-Rules!$B$6,IF(Rules!$B$8="Yes",MIN(Rules!$B$3,D55-Rules!$B$6),D55-Rules!$B$6)))</f>
        <v/>
      </c>
      <c r="F55" s="18">
        <f>IF(B55="","",C55-E55)</f>
        <v/>
      </c>
      <c r="G55" s="19">
        <f>IF(B55="","",IF(OR(Rules!$B$5=0,B55&gt;=0),0,-B55/Rules!$B$5))</f>
        <v/>
      </c>
      <c r="H55" s="18">
        <f>IF(B55="","",C55-Rules!$B$3)</f>
        <v/>
      </c>
      <c r="I55" s="8" t="n"/>
      <c r="J55" s="20">
        <f>IF(B55="","",IF(C55&lt;=E55,"BREACH: floor",IF(G55&gt;=1,"BREACH: daily limit",IF(F55&lt;Rules!$B$6*0.25,"Caution","OK"))))</f>
        <v/>
      </c>
    </row>
    <row r="56">
      <c r="A56" s="17" t="n"/>
      <c r="B56" s="6" t="n"/>
      <c r="C56" s="18">
        <f>IF(B56="","",Rules!$B$3+SUM($B$5:B56))</f>
        <v/>
      </c>
      <c r="D56" s="18">
        <f>IF(B56="","",MAX(Rules!$B$3,MAX($C$5:C56)))</f>
        <v/>
      </c>
      <c r="E56" s="18">
        <f>IF(B56="","",IF(Rules!$B$7="Static",Rules!$B$3-Rules!$B$6,IF(Rules!$B$8="Yes",MIN(Rules!$B$3,D56-Rules!$B$6),D56-Rules!$B$6)))</f>
        <v/>
      </c>
      <c r="F56" s="18">
        <f>IF(B56="","",C56-E56)</f>
        <v/>
      </c>
      <c r="G56" s="19">
        <f>IF(B56="","",IF(OR(Rules!$B$5=0,B56&gt;=0),0,-B56/Rules!$B$5))</f>
        <v/>
      </c>
      <c r="H56" s="18">
        <f>IF(B56="","",C56-Rules!$B$3)</f>
        <v/>
      </c>
      <c r="I56" s="8" t="n"/>
      <c r="J56" s="20">
        <f>IF(B56="","",IF(C56&lt;=E56,"BREACH: floor",IF(G56&gt;=1,"BREACH: daily limit",IF(F56&lt;Rules!$B$6*0.25,"Caution","OK"))))</f>
        <v/>
      </c>
    </row>
    <row r="57">
      <c r="A57" s="17" t="n"/>
      <c r="B57" s="6" t="n"/>
      <c r="C57" s="18">
        <f>IF(B57="","",Rules!$B$3+SUM($B$5:B57))</f>
        <v/>
      </c>
      <c r="D57" s="18">
        <f>IF(B57="","",MAX(Rules!$B$3,MAX($C$5:C57)))</f>
        <v/>
      </c>
      <c r="E57" s="18">
        <f>IF(B57="","",IF(Rules!$B$7="Static",Rules!$B$3-Rules!$B$6,IF(Rules!$B$8="Yes",MIN(Rules!$B$3,D57-Rules!$B$6),D57-Rules!$B$6)))</f>
        <v/>
      </c>
      <c r="F57" s="18">
        <f>IF(B57="","",C57-E57)</f>
        <v/>
      </c>
      <c r="G57" s="19">
        <f>IF(B57="","",IF(OR(Rules!$B$5=0,B57&gt;=0),0,-B57/Rules!$B$5))</f>
        <v/>
      </c>
      <c r="H57" s="18">
        <f>IF(B57="","",C57-Rules!$B$3)</f>
        <v/>
      </c>
      <c r="I57" s="8" t="n"/>
      <c r="J57" s="20">
        <f>IF(B57="","",IF(C57&lt;=E57,"BREACH: floor",IF(G57&gt;=1,"BREACH: daily limit",IF(F57&lt;Rules!$B$6*0.25,"Caution","OK"))))</f>
        <v/>
      </c>
    </row>
    <row r="58">
      <c r="A58" s="17" t="n"/>
      <c r="B58" s="6" t="n"/>
      <c r="C58" s="18">
        <f>IF(B58="","",Rules!$B$3+SUM($B$5:B58))</f>
        <v/>
      </c>
      <c r="D58" s="18">
        <f>IF(B58="","",MAX(Rules!$B$3,MAX($C$5:C58)))</f>
        <v/>
      </c>
      <c r="E58" s="18">
        <f>IF(B58="","",IF(Rules!$B$7="Static",Rules!$B$3-Rules!$B$6,IF(Rules!$B$8="Yes",MIN(Rules!$B$3,D58-Rules!$B$6),D58-Rules!$B$6)))</f>
        <v/>
      </c>
      <c r="F58" s="18">
        <f>IF(B58="","",C58-E58)</f>
        <v/>
      </c>
      <c r="G58" s="19">
        <f>IF(B58="","",IF(OR(Rules!$B$5=0,B58&gt;=0),0,-B58/Rules!$B$5))</f>
        <v/>
      </c>
      <c r="H58" s="18">
        <f>IF(B58="","",C58-Rules!$B$3)</f>
        <v/>
      </c>
      <c r="I58" s="8" t="n"/>
      <c r="J58" s="20">
        <f>IF(B58="","",IF(C58&lt;=E58,"BREACH: floor",IF(G58&gt;=1,"BREACH: daily limit",IF(F58&lt;Rules!$B$6*0.25,"Caution","OK"))))</f>
        <v/>
      </c>
    </row>
    <row r="59">
      <c r="A59" s="17" t="n"/>
      <c r="B59" s="6" t="n"/>
      <c r="C59" s="18">
        <f>IF(B59="","",Rules!$B$3+SUM($B$5:B59))</f>
        <v/>
      </c>
      <c r="D59" s="18">
        <f>IF(B59="","",MAX(Rules!$B$3,MAX($C$5:C59)))</f>
        <v/>
      </c>
      <c r="E59" s="18">
        <f>IF(B59="","",IF(Rules!$B$7="Static",Rules!$B$3-Rules!$B$6,IF(Rules!$B$8="Yes",MIN(Rules!$B$3,D59-Rules!$B$6),D59-Rules!$B$6)))</f>
        <v/>
      </c>
      <c r="F59" s="18">
        <f>IF(B59="","",C59-E59)</f>
        <v/>
      </c>
      <c r="G59" s="19">
        <f>IF(B59="","",IF(OR(Rules!$B$5=0,B59&gt;=0),0,-B59/Rules!$B$5))</f>
        <v/>
      </c>
      <c r="H59" s="18">
        <f>IF(B59="","",C59-Rules!$B$3)</f>
        <v/>
      </c>
      <c r="I59" s="8" t="n"/>
      <c r="J59" s="20">
        <f>IF(B59="","",IF(C59&lt;=E59,"BREACH: floor",IF(G59&gt;=1,"BREACH: daily limit",IF(F59&lt;Rules!$B$6*0.25,"Caution","OK"))))</f>
        <v/>
      </c>
    </row>
    <row r="60">
      <c r="A60" s="17" t="n"/>
      <c r="B60" s="6" t="n"/>
      <c r="C60" s="18">
        <f>IF(B60="","",Rules!$B$3+SUM($B$5:B60))</f>
        <v/>
      </c>
      <c r="D60" s="18">
        <f>IF(B60="","",MAX(Rules!$B$3,MAX($C$5:C60)))</f>
        <v/>
      </c>
      <c r="E60" s="18">
        <f>IF(B60="","",IF(Rules!$B$7="Static",Rules!$B$3-Rules!$B$6,IF(Rules!$B$8="Yes",MIN(Rules!$B$3,D60-Rules!$B$6),D60-Rules!$B$6)))</f>
        <v/>
      </c>
      <c r="F60" s="18">
        <f>IF(B60="","",C60-E60)</f>
        <v/>
      </c>
      <c r="G60" s="19">
        <f>IF(B60="","",IF(OR(Rules!$B$5=0,B60&gt;=0),0,-B60/Rules!$B$5))</f>
        <v/>
      </c>
      <c r="H60" s="18">
        <f>IF(B60="","",C60-Rules!$B$3)</f>
        <v/>
      </c>
      <c r="I60" s="8" t="n"/>
      <c r="J60" s="20">
        <f>IF(B60="","",IF(C60&lt;=E60,"BREACH: floor",IF(G60&gt;=1,"BREACH: daily limit",IF(F60&lt;Rules!$B$6*0.25,"Caution","OK"))))</f>
        <v/>
      </c>
    </row>
    <row r="61">
      <c r="A61" s="17" t="n"/>
      <c r="B61" s="6" t="n"/>
      <c r="C61" s="18">
        <f>IF(B61="","",Rules!$B$3+SUM($B$5:B61))</f>
        <v/>
      </c>
      <c r="D61" s="18">
        <f>IF(B61="","",MAX(Rules!$B$3,MAX($C$5:C61)))</f>
        <v/>
      </c>
      <c r="E61" s="18">
        <f>IF(B61="","",IF(Rules!$B$7="Static",Rules!$B$3-Rules!$B$6,IF(Rules!$B$8="Yes",MIN(Rules!$B$3,D61-Rules!$B$6),D61-Rules!$B$6)))</f>
        <v/>
      </c>
      <c r="F61" s="18">
        <f>IF(B61="","",C61-E61)</f>
        <v/>
      </c>
      <c r="G61" s="19">
        <f>IF(B61="","",IF(OR(Rules!$B$5=0,B61&gt;=0),0,-B61/Rules!$B$5))</f>
        <v/>
      </c>
      <c r="H61" s="18">
        <f>IF(B61="","",C61-Rules!$B$3)</f>
        <v/>
      </c>
      <c r="I61" s="8" t="n"/>
      <c r="J61" s="20">
        <f>IF(B61="","",IF(C61&lt;=E61,"BREACH: floor",IF(G61&gt;=1,"BREACH: daily limit",IF(F61&lt;Rules!$B$6*0.25,"Caution","OK"))))</f>
        <v/>
      </c>
    </row>
    <row r="62">
      <c r="A62" s="17" t="n"/>
      <c r="B62" s="6" t="n"/>
      <c r="C62" s="18">
        <f>IF(B62="","",Rules!$B$3+SUM($B$5:B62))</f>
        <v/>
      </c>
      <c r="D62" s="18">
        <f>IF(B62="","",MAX(Rules!$B$3,MAX($C$5:C62)))</f>
        <v/>
      </c>
      <c r="E62" s="18">
        <f>IF(B62="","",IF(Rules!$B$7="Static",Rules!$B$3-Rules!$B$6,IF(Rules!$B$8="Yes",MIN(Rules!$B$3,D62-Rules!$B$6),D62-Rules!$B$6)))</f>
        <v/>
      </c>
      <c r="F62" s="18">
        <f>IF(B62="","",C62-E62)</f>
        <v/>
      </c>
      <c r="G62" s="19">
        <f>IF(B62="","",IF(OR(Rules!$B$5=0,B62&gt;=0),0,-B62/Rules!$B$5))</f>
        <v/>
      </c>
      <c r="H62" s="18">
        <f>IF(B62="","",C62-Rules!$B$3)</f>
        <v/>
      </c>
      <c r="I62" s="8" t="n"/>
      <c r="J62" s="20">
        <f>IF(B62="","",IF(C62&lt;=E62,"BREACH: floor",IF(G62&gt;=1,"BREACH: daily limit",IF(F62&lt;Rules!$B$6*0.25,"Caution","OK"))))</f>
        <v/>
      </c>
    </row>
    <row r="63">
      <c r="A63" s="17" t="n"/>
      <c r="B63" s="6" t="n"/>
      <c r="C63" s="18">
        <f>IF(B63="","",Rules!$B$3+SUM($B$5:B63))</f>
        <v/>
      </c>
      <c r="D63" s="18">
        <f>IF(B63="","",MAX(Rules!$B$3,MAX($C$5:C63)))</f>
        <v/>
      </c>
      <c r="E63" s="18">
        <f>IF(B63="","",IF(Rules!$B$7="Static",Rules!$B$3-Rules!$B$6,IF(Rules!$B$8="Yes",MIN(Rules!$B$3,D63-Rules!$B$6),D63-Rules!$B$6)))</f>
        <v/>
      </c>
      <c r="F63" s="18">
        <f>IF(B63="","",C63-E63)</f>
        <v/>
      </c>
      <c r="G63" s="19">
        <f>IF(B63="","",IF(OR(Rules!$B$5=0,B63&gt;=0),0,-B63/Rules!$B$5))</f>
        <v/>
      </c>
      <c r="H63" s="18">
        <f>IF(B63="","",C63-Rules!$B$3)</f>
        <v/>
      </c>
      <c r="I63" s="8" t="n"/>
      <c r="J63" s="20">
        <f>IF(B63="","",IF(C63&lt;=E63,"BREACH: floor",IF(G63&gt;=1,"BREACH: daily limit",IF(F63&lt;Rules!$B$6*0.25,"Caution","OK"))))</f>
        <v/>
      </c>
    </row>
    <row r="64">
      <c r="A64" s="17" t="n"/>
      <c r="B64" s="6" t="n"/>
      <c r="C64" s="18">
        <f>IF(B64="","",Rules!$B$3+SUM($B$5:B64))</f>
        <v/>
      </c>
      <c r="D64" s="18">
        <f>IF(B64="","",MAX(Rules!$B$3,MAX($C$5:C64)))</f>
        <v/>
      </c>
      <c r="E64" s="18">
        <f>IF(B64="","",IF(Rules!$B$7="Static",Rules!$B$3-Rules!$B$6,IF(Rules!$B$8="Yes",MIN(Rules!$B$3,D64-Rules!$B$6),D64-Rules!$B$6)))</f>
        <v/>
      </c>
      <c r="F64" s="18">
        <f>IF(B64="","",C64-E64)</f>
        <v/>
      </c>
      <c r="G64" s="19">
        <f>IF(B64="","",IF(OR(Rules!$B$5=0,B64&gt;=0),0,-B64/Rules!$B$5))</f>
        <v/>
      </c>
      <c r="H64" s="18">
        <f>IF(B64="","",C64-Rules!$B$3)</f>
        <v/>
      </c>
      <c r="I64" s="8" t="n"/>
      <c r="J64" s="20">
        <f>IF(B64="","",IF(C64&lt;=E64,"BREACH: floor",IF(G64&gt;=1,"BREACH: daily limit",IF(F64&lt;Rules!$B$6*0.25,"Caution","OK"))))</f>
        <v/>
      </c>
    </row>
    <row r="65">
      <c r="A65" s="17" t="n"/>
      <c r="B65" s="6" t="n"/>
      <c r="C65" s="18">
        <f>IF(B65="","",Rules!$B$3+SUM($B$5:B65))</f>
        <v/>
      </c>
      <c r="D65" s="18">
        <f>IF(B65="","",MAX(Rules!$B$3,MAX($C$5:C65)))</f>
        <v/>
      </c>
      <c r="E65" s="18">
        <f>IF(B65="","",IF(Rules!$B$7="Static",Rules!$B$3-Rules!$B$6,IF(Rules!$B$8="Yes",MIN(Rules!$B$3,D65-Rules!$B$6),D65-Rules!$B$6)))</f>
        <v/>
      </c>
      <c r="F65" s="18">
        <f>IF(B65="","",C65-E65)</f>
        <v/>
      </c>
      <c r="G65" s="19">
        <f>IF(B65="","",IF(OR(Rules!$B$5=0,B65&gt;=0),0,-B65/Rules!$B$5))</f>
        <v/>
      </c>
      <c r="H65" s="18">
        <f>IF(B65="","",C65-Rules!$B$3)</f>
        <v/>
      </c>
      <c r="I65" s="8" t="n"/>
      <c r="J65" s="20">
        <f>IF(B65="","",IF(C65&lt;=E65,"BREACH: floor",IF(G65&gt;=1,"BREACH: daily limit",IF(F65&lt;Rules!$B$6*0.25,"Caution","OK"))))</f>
        <v/>
      </c>
    </row>
    <row r="66">
      <c r="A66" s="17" t="n"/>
      <c r="B66" s="6" t="n"/>
      <c r="C66" s="18">
        <f>IF(B66="","",Rules!$B$3+SUM($B$5:B66))</f>
        <v/>
      </c>
      <c r="D66" s="18">
        <f>IF(B66="","",MAX(Rules!$B$3,MAX($C$5:C66)))</f>
        <v/>
      </c>
      <c r="E66" s="18">
        <f>IF(B66="","",IF(Rules!$B$7="Static",Rules!$B$3-Rules!$B$6,IF(Rules!$B$8="Yes",MIN(Rules!$B$3,D66-Rules!$B$6),D66-Rules!$B$6)))</f>
        <v/>
      </c>
      <c r="F66" s="18">
        <f>IF(B66="","",C66-E66)</f>
        <v/>
      </c>
      <c r="G66" s="19">
        <f>IF(B66="","",IF(OR(Rules!$B$5=0,B66&gt;=0),0,-B66/Rules!$B$5))</f>
        <v/>
      </c>
      <c r="H66" s="18">
        <f>IF(B66="","",C66-Rules!$B$3)</f>
        <v/>
      </c>
      <c r="I66" s="8" t="n"/>
      <c r="J66" s="20">
        <f>IF(B66="","",IF(C66&lt;=E66,"BREACH: floor",IF(G66&gt;=1,"BREACH: daily limit",IF(F66&lt;Rules!$B$6*0.25,"Caution","OK"))))</f>
        <v/>
      </c>
    </row>
    <row r="67">
      <c r="A67" s="17" t="n"/>
      <c r="B67" s="6" t="n"/>
      <c r="C67" s="18">
        <f>IF(B67="","",Rules!$B$3+SUM($B$5:B67))</f>
        <v/>
      </c>
      <c r="D67" s="18">
        <f>IF(B67="","",MAX(Rules!$B$3,MAX($C$5:C67)))</f>
        <v/>
      </c>
      <c r="E67" s="18">
        <f>IF(B67="","",IF(Rules!$B$7="Static",Rules!$B$3-Rules!$B$6,IF(Rules!$B$8="Yes",MIN(Rules!$B$3,D67-Rules!$B$6),D67-Rules!$B$6)))</f>
        <v/>
      </c>
      <c r="F67" s="18">
        <f>IF(B67="","",C67-E67)</f>
        <v/>
      </c>
      <c r="G67" s="19">
        <f>IF(B67="","",IF(OR(Rules!$B$5=0,B67&gt;=0),0,-B67/Rules!$B$5))</f>
        <v/>
      </c>
      <c r="H67" s="18">
        <f>IF(B67="","",C67-Rules!$B$3)</f>
        <v/>
      </c>
      <c r="I67" s="8" t="n"/>
      <c r="J67" s="20">
        <f>IF(B67="","",IF(C67&lt;=E67,"BREACH: floor",IF(G67&gt;=1,"BREACH: daily limit",IF(F67&lt;Rules!$B$6*0.25,"Caution","OK"))))</f>
        <v/>
      </c>
    </row>
    <row r="68">
      <c r="A68" s="17" t="n"/>
      <c r="B68" s="6" t="n"/>
      <c r="C68" s="18">
        <f>IF(B68="","",Rules!$B$3+SUM($B$5:B68))</f>
        <v/>
      </c>
      <c r="D68" s="18">
        <f>IF(B68="","",MAX(Rules!$B$3,MAX($C$5:C68)))</f>
        <v/>
      </c>
      <c r="E68" s="18">
        <f>IF(B68="","",IF(Rules!$B$7="Static",Rules!$B$3-Rules!$B$6,IF(Rules!$B$8="Yes",MIN(Rules!$B$3,D68-Rules!$B$6),D68-Rules!$B$6)))</f>
        <v/>
      </c>
      <c r="F68" s="18">
        <f>IF(B68="","",C68-E68)</f>
        <v/>
      </c>
      <c r="G68" s="19">
        <f>IF(B68="","",IF(OR(Rules!$B$5=0,B68&gt;=0),0,-B68/Rules!$B$5))</f>
        <v/>
      </c>
      <c r="H68" s="18">
        <f>IF(B68="","",C68-Rules!$B$3)</f>
        <v/>
      </c>
      <c r="I68" s="8" t="n"/>
      <c r="J68" s="20">
        <f>IF(B68="","",IF(C68&lt;=E68,"BREACH: floor",IF(G68&gt;=1,"BREACH: daily limit",IF(F68&lt;Rules!$B$6*0.25,"Caution","OK"))))</f>
        <v/>
      </c>
    </row>
    <row r="69">
      <c r="A69" s="17" t="n"/>
      <c r="B69" s="6" t="n"/>
      <c r="C69" s="18">
        <f>IF(B69="","",Rules!$B$3+SUM($B$5:B69))</f>
        <v/>
      </c>
      <c r="D69" s="18">
        <f>IF(B69="","",MAX(Rules!$B$3,MAX($C$5:C69)))</f>
        <v/>
      </c>
      <c r="E69" s="18">
        <f>IF(B69="","",IF(Rules!$B$7="Static",Rules!$B$3-Rules!$B$6,IF(Rules!$B$8="Yes",MIN(Rules!$B$3,D69-Rules!$B$6),D69-Rules!$B$6)))</f>
        <v/>
      </c>
      <c r="F69" s="18">
        <f>IF(B69="","",C69-E69)</f>
        <v/>
      </c>
      <c r="G69" s="19">
        <f>IF(B69="","",IF(OR(Rules!$B$5=0,B69&gt;=0),0,-B69/Rules!$B$5))</f>
        <v/>
      </c>
      <c r="H69" s="18">
        <f>IF(B69="","",C69-Rules!$B$3)</f>
        <v/>
      </c>
      <c r="I69" s="8" t="n"/>
      <c r="J69" s="20">
        <f>IF(B69="","",IF(C69&lt;=E69,"BREACH: floor",IF(G69&gt;=1,"BREACH: daily limit",IF(F69&lt;Rules!$B$6*0.25,"Caution","OK"))))</f>
        <v/>
      </c>
    </row>
    <row r="70">
      <c r="A70" s="17" t="n"/>
      <c r="B70" s="6" t="n"/>
      <c r="C70" s="18">
        <f>IF(B70="","",Rules!$B$3+SUM($B$5:B70))</f>
        <v/>
      </c>
      <c r="D70" s="18">
        <f>IF(B70="","",MAX(Rules!$B$3,MAX($C$5:C70)))</f>
        <v/>
      </c>
      <c r="E70" s="18">
        <f>IF(B70="","",IF(Rules!$B$7="Static",Rules!$B$3-Rules!$B$6,IF(Rules!$B$8="Yes",MIN(Rules!$B$3,D70-Rules!$B$6),D70-Rules!$B$6)))</f>
        <v/>
      </c>
      <c r="F70" s="18">
        <f>IF(B70="","",C70-E70)</f>
        <v/>
      </c>
      <c r="G70" s="19">
        <f>IF(B70="","",IF(OR(Rules!$B$5=0,B70&gt;=0),0,-B70/Rules!$B$5))</f>
        <v/>
      </c>
      <c r="H70" s="18">
        <f>IF(B70="","",C70-Rules!$B$3)</f>
        <v/>
      </c>
      <c r="I70" s="8" t="n"/>
      <c r="J70" s="20">
        <f>IF(B70="","",IF(C70&lt;=E70,"BREACH: floor",IF(G70&gt;=1,"BREACH: daily limit",IF(F70&lt;Rules!$B$6*0.25,"Caution","OK"))))</f>
        <v/>
      </c>
    </row>
    <row r="71">
      <c r="A71" s="17" t="n"/>
      <c r="B71" s="6" t="n"/>
      <c r="C71" s="18">
        <f>IF(B71="","",Rules!$B$3+SUM($B$5:B71))</f>
        <v/>
      </c>
      <c r="D71" s="18">
        <f>IF(B71="","",MAX(Rules!$B$3,MAX($C$5:C71)))</f>
        <v/>
      </c>
      <c r="E71" s="18">
        <f>IF(B71="","",IF(Rules!$B$7="Static",Rules!$B$3-Rules!$B$6,IF(Rules!$B$8="Yes",MIN(Rules!$B$3,D71-Rules!$B$6),D71-Rules!$B$6)))</f>
        <v/>
      </c>
      <c r="F71" s="18">
        <f>IF(B71="","",C71-E71)</f>
        <v/>
      </c>
      <c r="G71" s="19">
        <f>IF(B71="","",IF(OR(Rules!$B$5=0,B71&gt;=0),0,-B71/Rules!$B$5))</f>
        <v/>
      </c>
      <c r="H71" s="18">
        <f>IF(B71="","",C71-Rules!$B$3)</f>
        <v/>
      </c>
      <c r="I71" s="8" t="n"/>
      <c r="J71" s="20">
        <f>IF(B71="","",IF(C71&lt;=E71,"BREACH: floor",IF(G71&gt;=1,"BREACH: daily limit",IF(F71&lt;Rules!$B$6*0.25,"Caution","OK"))))</f>
        <v/>
      </c>
    </row>
    <row r="72">
      <c r="A72" s="17" t="n"/>
      <c r="B72" s="6" t="n"/>
      <c r="C72" s="18">
        <f>IF(B72="","",Rules!$B$3+SUM($B$5:B72))</f>
        <v/>
      </c>
      <c r="D72" s="18">
        <f>IF(B72="","",MAX(Rules!$B$3,MAX($C$5:C72)))</f>
        <v/>
      </c>
      <c r="E72" s="18">
        <f>IF(B72="","",IF(Rules!$B$7="Static",Rules!$B$3-Rules!$B$6,IF(Rules!$B$8="Yes",MIN(Rules!$B$3,D72-Rules!$B$6),D72-Rules!$B$6)))</f>
        <v/>
      </c>
      <c r="F72" s="18">
        <f>IF(B72="","",C72-E72)</f>
        <v/>
      </c>
      <c r="G72" s="19">
        <f>IF(B72="","",IF(OR(Rules!$B$5=0,B72&gt;=0),0,-B72/Rules!$B$5))</f>
        <v/>
      </c>
      <c r="H72" s="18">
        <f>IF(B72="","",C72-Rules!$B$3)</f>
        <v/>
      </c>
      <c r="I72" s="8" t="n"/>
      <c r="J72" s="20">
        <f>IF(B72="","",IF(C72&lt;=E72,"BREACH: floor",IF(G72&gt;=1,"BREACH: daily limit",IF(F72&lt;Rules!$B$6*0.25,"Caution","OK"))))</f>
        <v/>
      </c>
    </row>
    <row r="73">
      <c r="A73" s="17" t="n"/>
      <c r="B73" s="6" t="n"/>
      <c r="C73" s="18">
        <f>IF(B73="","",Rules!$B$3+SUM($B$5:B73))</f>
        <v/>
      </c>
      <c r="D73" s="18">
        <f>IF(B73="","",MAX(Rules!$B$3,MAX($C$5:C73)))</f>
        <v/>
      </c>
      <c r="E73" s="18">
        <f>IF(B73="","",IF(Rules!$B$7="Static",Rules!$B$3-Rules!$B$6,IF(Rules!$B$8="Yes",MIN(Rules!$B$3,D73-Rules!$B$6),D73-Rules!$B$6)))</f>
        <v/>
      </c>
      <c r="F73" s="18">
        <f>IF(B73="","",C73-E73)</f>
        <v/>
      </c>
      <c r="G73" s="19">
        <f>IF(B73="","",IF(OR(Rules!$B$5=0,B73&gt;=0),0,-B73/Rules!$B$5))</f>
        <v/>
      </c>
      <c r="H73" s="18">
        <f>IF(B73="","",C73-Rules!$B$3)</f>
        <v/>
      </c>
      <c r="I73" s="8" t="n"/>
      <c r="J73" s="20">
        <f>IF(B73="","",IF(C73&lt;=E73,"BREACH: floor",IF(G73&gt;=1,"BREACH: daily limit",IF(F73&lt;Rules!$B$6*0.25,"Caution","OK"))))</f>
        <v/>
      </c>
    </row>
    <row r="74">
      <c r="A74" s="17" t="n"/>
      <c r="B74" s="6" t="n"/>
      <c r="C74" s="18">
        <f>IF(B74="","",Rules!$B$3+SUM($B$5:B74))</f>
        <v/>
      </c>
      <c r="D74" s="18">
        <f>IF(B74="","",MAX(Rules!$B$3,MAX($C$5:C74)))</f>
        <v/>
      </c>
      <c r="E74" s="18">
        <f>IF(B74="","",IF(Rules!$B$7="Static",Rules!$B$3-Rules!$B$6,IF(Rules!$B$8="Yes",MIN(Rules!$B$3,D74-Rules!$B$6),D74-Rules!$B$6)))</f>
        <v/>
      </c>
      <c r="F74" s="18">
        <f>IF(B74="","",C74-E74)</f>
        <v/>
      </c>
      <c r="G74" s="19">
        <f>IF(B74="","",IF(OR(Rules!$B$5=0,B74&gt;=0),0,-B74/Rules!$B$5))</f>
        <v/>
      </c>
      <c r="H74" s="18">
        <f>IF(B74="","",C74-Rules!$B$3)</f>
        <v/>
      </c>
      <c r="I74" s="8" t="n"/>
      <c r="J74" s="20">
        <f>IF(B74="","",IF(C74&lt;=E74,"BREACH: floor",IF(G74&gt;=1,"BREACH: daily limit",IF(F74&lt;Rules!$B$6*0.25,"Caution","OK"))))</f>
        <v/>
      </c>
    </row>
    <row r="75">
      <c r="A75" s="17" t="n"/>
      <c r="B75" s="6" t="n"/>
      <c r="C75" s="18">
        <f>IF(B75="","",Rules!$B$3+SUM($B$5:B75))</f>
        <v/>
      </c>
      <c r="D75" s="18">
        <f>IF(B75="","",MAX(Rules!$B$3,MAX($C$5:C75)))</f>
        <v/>
      </c>
      <c r="E75" s="18">
        <f>IF(B75="","",IF(Rules!$B$7="Static",Rules!$B$3-Rules!$B$6,IF(Rules!$B$8="Yes",MIN(Rules!$B$3,D75-Rules!$B$6),D75-Rules!$B$6)))</f>
        <v/>
      </c>
      <c r="F75" s="18">
        <f>IF(B75="","",C75-E75)</f>
        <v/>
      </c>
      <c r="G75" s="19">
        <f>IF(B75="","",IF(OR(Rules!$B$5=0,B75&gt;=0),0,-B75/Rules!$B$5))</f>
        <v/>
      </c>
      <c r="H75" s="18">
        <f>IF(B75="","",C75-Rules!$B$3)</f>
        <v/>
      </c>
      <c r="I75" s="8" t="n"/>
      <c r="J75" s="20">
        <f>IF(B75="","",IF(C75&lt;=E75,"BREACH: floor",IF(G75&gt;=1,"BREACH: daily limit",IF(F75&lt;Rules!$B$6*0.25,"Caution","OK"))))</f>
        <v/>
      </c>
    </row>
    <row r="76">
      <c r="A76" s="17" t="n"/>
      <c r="B76" s="6" t="n"/>
      <c r="C76" s="18">
        <f>IF(B76="","",Rules!$B$3+SUM($B$5:B76))</f>
        <v/>
      </c>
      <c r="D76" s="18">
        <f>IF(B76="","",MAX(Rules!$B$3,MAX($C$5:C76)))</f>
        <v/>
      </c>
      <c r="E76" s="18">
        <f>IF(B76="","",IF(Rules!$B$7="Static",Rules!$B$3-Rules!$B$6,IF(Rules!$B$8="Yes",MIN(Rules!$B$3,D76-Rules!$B$6),D76-Rules!$B$6)))</f>
        <v/>
      </c>
      <c r="F76" s="18">
        <f>IF(B76="","",C76-E76)</f>
        <v/>
      </c>
      <c r="G76" s="19">
        <f>IF(B76="","",IF(OR(Rules!$B$5=0,B76&gt;=0),0,-B76/Rules!$B$5))</f>
        <v/>
      </c>
      <c r="H76" s="18">
        <f>IF(B76="","",C76-Rules!$B$3)</f>
        <v/>
      </c>
      <c r="I76" s="8" t="n"/>
      <c r="J76" s="20">
        <f>IF(B76="","",IF(C76&lt;=E76,"BREACH: floor",IF(G76&gt;=1,"BREACH: daily limit",IF(F76&lt;Rules!$B$6*0.25,"Caution","OK"))))</f>
        <v/>
      </c>
    </row>
    <row r="77">
      <c r="A77" s="17" t="n"/>
      <c r="B77" s="6" t="n"/>
      <c r="C77" s="18">
        <f>IF(B77="","",Rules!$B$3+SUM($B$5:B77))</f>
        <v/>
      </c>
      <c r="D77" s="18">
        <f>IF(B77="","",MAX(Rules!$B$3,MAX($C$5:C77)))</f>
        <v/>
      </c>
      <c r="E77" s="18">
        <f>IF(B77="","",IF(Rules!$B$7="Static",Rules!$B$3-Rules!$B$6,IF(Rules!$B$8="Yes",MIN(Rules!$B$3,D77-Rules!$B$6),D77-Rules!$B$6)))</f>
        <v/>
      </c>
      <c r="F77" s="18">
        <f>IF(B77="","",C77-E77)</f>
        <v/>
      </c>
      <c r="G77" s="19">
        <f>IF(B77="","",IF(OR(Rules!$B$5=0,B77&gt;=0),0,-B77/Rules!$B$5))</f>
        <v/>
      </c>
      <c r="H77" s="18">
        <f>IF(B77="","",C77-Rules!$B$3)</f>
        <v/>
      </c>
      <c r="I77" s="8" t="n"/>
      <c r="J77" s="20">
        <f>IF(B77="","",IF(C77&lt;=E77,"BREACH: floor",IF(G77&gt;=1,"BREACH: daily limit",IF(F77&lt;Rules!$B$6*0.25,"Caution","OK"))))</f>
        <v/>
      </c>
    </row>
    <row r="78">
      <c r="A78" s="17" t="n"/>
      <c r="B78" s="6" t="n"/>
      <c r="C78" s="18">
        <f>IF(B78="","",Rules!$B$3+SUM($B$5:B78))</f>
        <v/>
      </c>
      <c r="D78" s="18">
        <f>IF(B78="","",MAX(Rules!$B$3,MAX($C$5:C78)))</f>
        <v/>
      </c>
      <c r="E78" s="18">
        <f>IF(B78="","",IF(Rules!$B$7="Static",Rules!$B$3-Rules!$B$6,IF(Rules!$B$8="Yes",MIN(Rules!$B$3,D78-Rules!$B$6),D78-Rules!$B$6)))</f>
        <v/>
      </c>
      <c r="F78" s="18">
        <f>IF(B78="","",C78-E78)</f>
        <v/>
      </c>
      <c r="G78" s="19">
        <f>IF(B78="","",IF(OR(Rules!$B$5=0,B78&gt;=0),0,-B78/Rules!$B$5))</f>
        <v/>
      </c>
      <c r="H78" s="18">
        <f>IF(B78="","",C78-Rules!$B$3)</f>
        <v/>
      </c>
      <c r="I78" s="8" t="n"/>
      <c r="J78" s="20">
        <f>IF(B78="","",IF(C78&lt;=E78,"BREACH: floor",IF(G78&gt;=1,"BREACH: daily limit",IF(F78&lt;Rules!$B$6*0.25,"Caution","OK"))))</f>
        <v/>
      </c>
    </row>
    <row r="79">
      <c r="A79" s="17" t="n"/>
      <c r="B79" s="6" t="n"/>
      <c r="C79" s="18">
        <f>IF(B79="","",Rules!$B$3+SUM($B$5:B79))</f>
        <v/>
      </c>
      <c r="D79" s="18">
        <f>IF(B79="","",MAX(Rules!$B$3,MAX($C$5:C79)))</f>
        <v/>
      </c>
      <c r="E79" s="18">
        <f>IF(B79="","",IF(Rules!$B$7="Static",Rules!$B$3-Rules!$B$6,IF(Rules!$B$8="Yes",MIN(Rules!$B$3,D79-Rules!$B$6),D79-Rules!$B$6)))</f>
        <v/>
      </c>
      <c r="F79" s="18">
        <f>IF(B79="","",C79-E79)</f>
        <v/>
      </c>
      <c r="G79" s="19">
        <f>IF(B79="","",IF(OR(Rules!$B$5=0,B79&gt;=0),0,-B79/Rules!$B$5))</f>
        <v/>
      </c>
      <c r="H79" s="18">
        <f>IF(B79="","",C79-Rules!$B$3)</f>
        <v/>
      </c>
      <c r="I79" s="8" t="n"/>
      <c r="J79" s="20">
        <f>IF(B79="","",IF(C79&lt;=E79,"BREACH: floor",IF(G79&gt;=1,"BREACH: daily limit",IF(F79&lt;Rules!$B$6*0.25,"Caution","OK"))))</f>
        <v/>
      </c>
    </row>
    <row r="80">
      <c r="A80" s="17" t="n"/>
      <c r="B80" s="6" t="n"/>
      <c r="C80" s="18">
        <f>IF(B80="","",Rules!$B$3+SUM($B$5:B80))</f>
        <v/>
      </c>
      <c r="D80" s="18">
        <f>IF(B80="","",MAX(Rules!$B$3,MAX($C$5:C80)))</f>
        <v/>
      </c>
      <c r="E80" s="18">
        <f>IF(B80="","",IF(Rules!$B$7="Static",Rules!$B$3-Rules!$B$6,IF(Rules!$B$8="Yes",MIN(Rules!$B$3,D80-Rules!$B$6),D80-Rules!$B$6)))</f>
        <v/>
      </c>
      <c r="F80" s="18">
        <f>IF(B80="","",C80-E80)</f>
        <v/>
      </c>
      <c r="G80" s="19">
        <f>IF(B80="","",IF(OR(Rules!$B$5=0,B80&gt;=0),0,-B80/Rules!$B$5))</f>
        <v/>
      </c>
      <c r="H80" s="18">
        <f>IF(B80="","",C80-Rules!$B$3)</f>
        <v/>
      </c>
      <c r="I80" s="8" t="n"/>
      <c r="J80" s="20">
        <f>IF(B80="","",IF(C80&lt;=E80,"BREACH: floor",IF(G80&gt;=1,"BREACH: daily limit",IF(F80&lt;Rules!$B$6*0.25,"Caution","OK"))))</f>
        <v/>
      </c>
    </row>
    <row r="81">
      <c r="A81" s="17" t="n"/>
      <c r="B81" s="6" t="n"/>
      <c r="C81" s="18">
        <f>IF(B81="","",Rules!$B$3+SUM($B$5:B81))</f>
        <v/>
      </c>
      <c r="D81" s="18">
        <f>IF(B81="","",MAX(Rules!$B$3,MAX($C$5:C81)))</f>
        <v/>
      </c>
      <c r="E81" s="18">
        <f>IF(B81="","",IF(Rules!$B$7="Static",Rules!$B$3-Rules!$B$6,IF(Rules!$B$8="Yes",MIN(Rules!$B$3,D81-Rules!$B$6),D81-Rules!$B$6)))</f>
        <v/>
      </c>
      <c r="F81" s="18">
        <f>IF(B81="","",C81-E81)</f>
        <v/>
      </c>
      <c r="G81" s="19">
        <f>IF(B81="","",IF(OR(Rules!$B$5=0,B81&gt;=0),0,-B81/Rules!$B$5))</f>
        <v/>
      </c>
      <c r="H81" s="18">
        <f>IF(B81="","",C81-Rules!$B$3)</f>
        <v/>
      </c>
      <c r="I81" s="8" t="n"/>
      <c r="J81" s="20">
        <f>IF(B81="","",IF(C81&lt;=E81,"BREACH: floor",IF(G81&gt;=1,"BREACH: daily limit",IF(F81&lt;Rules!$B$6*0.25,"Caution","OK"))))</f>
        <v/>
      </c>
    </row>
    <row r="82">
      <c r="A82" s="17" t="n"/>
      <c r="B82" s="6" t="n"/>
      <c r="C82" s="18">
        <f>IF(B82="","",Rules!$B$3+SUM($B$5:B82))</f>
        <v/>
      </c>
      <c r="D82" s="18">
        <f>IF(B82="","",MAX(Rules!$B$3,MAX($C$5:C82)))</f>
        <v/>
      </c>
      <c r="E82" s="18">
        <f>IF(B82="","",IF(Rules!$B$7="Static",Rules!$B$3-Rules!$B$6,IF(Rules!$B$8="Yes",MIN(Rules!$B$3,D82-Rules!$B$6),D82-Rules!$B$6)))</f>
        <v/>
      </c>
      <c r="F82" s="18">
        <f>IF(B82="","",C82-E82)</f>
        <v/>
      </c>
      <c r="G82" s="19">
        <f>IF(B82="","",IF(OR(Rules!$B$5=0,B82&gt;=0),0,-B82/Rules!$B$5))</f>
        <v/>
      </c>
      <c r="H82" s="18">
        <f>IF(B82="","",C82-Rules!$B$3)</f>
        <v/>
      </c>
      <c r="I82" s="8" t="n"/>
      <c r="J82" s="20">
        <f>IF(B82="","",IF(C82&lt;=E82,"BREACH: floor",IF(G82&gt;=1,"BREACH: daily limit",IF(F82&lt;Rules!$B$6*0.25,"Caution","OK"))))</f>
        <v/>
      </c>
    </row>
    <row r="83">
      <c r="A83" s="17" t="n"/>
      <c r="B83" s="6" t="n"/>
      <c r="C83" s="18">
        <f>IF(B83="","",Rules!$B$3+SUM($B$5:B83))</f>
        <v/>
      </c>
      <c r="D83" s="18">
        <f>IF(B83="","",MAX(Rules!$B$3,MAX($C$5:C83)))</f>
        <v/>
      </c>
      <c r="E83" s="18">
        <f>IF(B83="","",IF(Rules!$B$7="Static",Rules!$B$3-Rules!$B$6,IF(Rules!$B$8="Yes",MIN(Rules!$B$3,D83-Rules!$B$6),D83-Rules!$B$6)))</f>
        <v/>
      </c>
      <c r="F83" s="18">
        <f>IF(B83="","",C83-E83)</f>
        <v/>
      </c>
      <c r="G83" s="19">
        <f>IF(B83="","",IF(OR(Rules!$B$5=0,B83&gt;=0),0,-B83/Rules!$B$5))</f>
        <v/>
      </c>
      <c r="H83" s="18">
        <f>IF(B83="","",C83-Rules!$B$3)</f>
        <v/>
      </c>
      <c r="I83" s="8" t="n"/>
      <c r="J83" s="20">
        <f>IF(B83="","",IF(C83&lt;=E83,"BREACH: floor",IF(G83&gt;=1,"BREACH: daily limit",IF(F83&lt;Rules!$B$6*0.25,"Caution","OK"))))</f>
        <v/>
      </c>
    </row>
    <row r="84">
      <c r="A84" s="17" t="n"/>
      <c r="B84" s="6" t="n"/>
      <c r="C84" s="18">
        <f>IF(B84="","",Rules!$B$3+SUM($B$5:B84))</f>
        <v/>
      </c>
      <c r="D84" s="18">
        <f>IF(B84="","",MAX(Rules!$B$3,MAX($C$5:C84)))</f>
        <v/>
      </c>
      <c r="E84" s="18">
        <f>IF(B84="","",IF(Rules!$B$7="Static",Rules!$B$3-Rules!$B$6,IF(Rules!$B$8="Yes",MIN(Rules!$B$3,D84-Rules!$B$6),D84-Rules!$B$6)))</f>
        <v/>
      </c>
      <c r="F84" s="18">
        <f>IF(B84="","",C84-E84)</f>
        <v/>
      </c>
      <c r="G84" s="19">
        <f>IF(B84="","",IF(OR(Rules!$B$5=0,B84&gt;=0),0,-B84/Rules!$B$5))</f>
        <v/>
      </c>
      <c r="H84" s="18">
        <f>IF(B84="","",C84-Rules!$B$3)</f>
        <v/>
      </c>
      <c r="I84" s="8" t="n"/>
      <c r="J84" s="20">
        <f>IF(B84="","",IF(C84&lt;=E84,"BREACH: floor",IF(G84&gt;=1,"BREACH: daily limit",IF(F84&lt;Rules!$B$6*0.25,"Caution","OK"))))</f>
        <v/>
      </c>
    </row>
    <row r="85">
      <c r="A85" s="17" t="n"/>
      <c r="B85" s="6" t="n"/>
      <c r="C85" s="18">
        <f>IF(B85="","",Rules!$B$3+SUM($B$5:B85))</f>
        <v/>
      </c>
      <c r="D85" s="18">
        <f>IF(B85="","",MAX(Rules!$B$3,MAX($C$5:C85)))</f>
        <v/>
      </c>
      <c r="E85" s="18">
        <f>IF(B85="","",IF(Rules!$B$7="Static",Rules!$B$3-Rules!$B$6,IF(Rules!$B$8="Yes",MIN(Rules!$B$3,D85-Rules!$B$6),D85-Rules!$B$6)))</f>
        <v/>
      </c>
      <c r="F85" s="18">
        <f>IF(B85="","",C85-E85)</f>
        <v/>
      </c>
      <c r="G85" s="19">
        <f>IF(B85="","",IF(OR(Rules!$B$5=0,B85&gt;=0),0,-B85/Rules!$B$5))</f>
        <v/>
      </c>
      <c r="H85" s="18">
        <f>IF(B85="","",C85-Rules!$B$3)</f>
        <v/>
      </c>
      <c r="I85" s="8" t="n"/>
      <c r="J85" s="20">
        <f>IF(B85="","",IF(C85&lt;=E85,"BREACH: floor",IF(G85&gt;=1,"BREACH: daily limit",IF(F85&lt;Rules!$B$6*0.25,"Caution","OK"))))</f>
        <v/>
      </c>
    </row>
    <row r="86">
      <c r="A86" s="17" t="n"/>
      <c r="B86" s="6" t="n"/>
      <c r="C86" s="18">
        <f>IF(B86="","",Rules!$B$3+SUM($B$5:B86))</f>
        <v/>
      </c>
      <c r="D86" s="18">
        <f>IF(B86="","",MAX(Rules!$B$3,MAX($C$5:C86)))</f>
        <v/>
      </c>
      <c r="E86" s="18">
        <f>IF(B86="","",IF(Rules!$B$7="Static",Rules!$B$3-Rules!$B$6,IF(Rules!$B$8="Yes",MIN(Rules!$B$3,D86-Rules!$B$6),D86-Rules!$B$6)))</f>
        <v/>
      </c>
      <c r="F86" s="18">
        <f>IF(B86="","",C86-E86)</f>
        <v/>
      </c>
      <c r="G86" s="19">
        <f>IF(B86="","",IF(OR(Rules!$B$5=0,B86&gt;=0),0,-B86/Rules!$B$5))</f>
        <v/>
      </c>
      <c r="H86" s="18">
        <f>IF(B86="","",C86-Rules!$B$3)</f>
        <v/>
      </c>
      <c r="I86" s="8" t="n"/>
      <c r="J86" s="20">
        <f>IF(B86="","",IF(C86&lt;=E86,"BREACH: floor",IF(G86&gt;=1,"BREACH: daily limit",IF(F86&lt;Rules!$B$6*0.25,"Caution","OK"))))</f>
        <v/>
      </c>
    </row>
    <row r="87">
      <c r="A87" s="17" t="n"/>
      <c r="B87" s="6" t="n"/>
      <c r="C87" s="18">
        <f>IF(B87="","",Rules!$B$3+SUM($B$5:B87))</f>
        <v/>
      </c>
      <c r="D87" s="18">
        <f>IF(B87="","",MAX(Rules!$B$3,MAX($C$5:C87)))</f>
        <v/>
      </c>
      <c r="E87" s="18">
        <f>IF(B87="","",IF(Rules!$B$7="Static",Rules!$B$3-Rules!$B$6,IF(Rules!$B$8="Yes",MIN(Rules!$B$3,D87-Rules!$B$6),D87-Rules!$B$6)))</f>
        <v/>
      </c>
      <c r="F87" s="18">
        <f>IF(B87="","",C87-E87)</f>
        <v/>
      </c>
      <c r="G87" s="19">
        <f>IF(B87="","",IF(OR(Rules!$B$5=0,B87&gt;=0),0,-B87/Rules!$B$5))</f>
        <v/>
      </c>
      <c r="H87" s="18">
        <f>IF(B87="","",C87-Rules!$B$3)</f>
        <v/>
      </c>
      <c r="I87" s="8" t="n"/>
      <c r="J87" s="20">
        <f>IF(B87="","",IF(C87&lt;=E87,"BREACH: floor",IF(G87&gt;=1,"BREACH: daily limit",IF(F87&lt;Rules!$B$6*0.25,"Caution","OK"))))</f>
        <v/>
      </c>
    </row>
    <row r="88">
      <c r="A88" s="17" t="n"/>
      <c r="B88" s="6" t="n"/>
      <c r="C88" s="18">
        <f>IF(B88="","",Rules!$B$3+SUM($B$5:B88))</f>
        <v/>
      </c>
      <c r="D88" s="18">
        <f>IF(B88="","",MAX(Rules!$B$3,MAX($C$5:C88)))</f>
        <v/>
      </c>
      <c r="E88" s="18">
        <f>IF(B88="","",IF(Rules!$B$7="Static",Rules!$B$3-Rules!$B$6,IF(Rules!$B$8="Yes",MIN(Rules!$B$3,D88-Rules!$B$6),D88-Rules!$B$6)))</f>
        <v/>
      </c>
      <c r="F88" s="18">
        <f>IF(B88="","",C88-E88)</f>
        <v/>
      </c>
      <c r="G88" s="19">
        <f>IF(B88="","",IF(OR(Rules!$B$5=0,B88&gt;=0),0,-B88/Rules!$B$5))</f>
        <v/>
      </c>
      <c r="H88" s="18">
        <f>IF(B88="","",C88-Rules!$B$3)</f>
        <v/>
      </c>
      <c r="I88" s="8" t="n"/>
      <c r="J88" s="20">
        <f>IF(B88="","",IF(C88&lt;=E88,"BREACH: floor",IF(G88&gt;=1,"BREACH: daily limit",IF(F88&lt;Rules!$B$6*0.25,"Caution","OK"))))</f>
        <v/>
      </c>
    </row>
    <row r="89">
      <c r="A89" s="17" t="n"/>
      <c r="B89" s="6" t="n"/>
      <c r="C89" s="18">
        <f>IF(B89="","",Rules!$B$3+SUM($B$5:B89))</f>
        <v/>
      </c>
      <c r="D89" s="18">
        <f>IF(B89="","",MAX(Rules!$B$3,MAX($C$5:C89)))</f>
        <v/>
      </c>
      <c r="E89" s="18">
        <f>IF(B89="","",IF(Rules!$B$7="Static",Rules!$B$3-Rules!$B$6,IF(Rules!$B$8="Yes",MIN(Rules!$B$3,D89-Rules!$B$6),D89-Rules!$B$6)))</f>
        <v/>
      </c>
      <c r="F89" s="18">
        <f>IF(B89="","",C89-E89)</f>
        <v/>
      </c>
      <c r="G89" s="19">
        <f>IF(B89="","",IF(OR(Rules!$B$5=0,B89&gt;=0),0,-B89/Rules!$B$5))</f>
        <v/>
      </c>
      <c r="H89" s="18">
        <f>IF(B89="","",C89-Rules!$B$3)</f>
        <v/>
      </c>
      <c r="I89" s="8" t="n"/>
      <c r="J89" s="20">
        <f>IF(B89="","",IF(C89&lt;=E89,"BREACH: floor",IF(G89&gt;=1,"BREACH: daily limit",IF(F89&lt;Rules!$B$6*0.25,"Caution","OK"))))</f>
        <v/>
      </c>
    </row>
    <row r="90">
      <c r="A90" s="17" t="n"/>
      <c r="B90" s="6" t="n"/>
      <c r="C90" s="18">
        <f>IF(B90="","",Rules!$B$3+SUM($B$5:B90))</f>
        <v/>
      </c>
      <c r="D90" s="18">
        <f>IF(B90="","",MAX(Rules!$B$3,MAX($C$5:C90)))</f>
        <v/>
      </c>
      <c r="E90" s="18">
        <f>IF(B90="","",IF(Rules!$B$7="Static",Rules!$B$3-Rules!$B$6,IF(Rules!$B$8="Yes",MIN(Rules!$B$3,D90-Rules!$B$6),D90-Rules!$B$6)))</f>
        <v/>
      </c>
      <c r="F90" s="18">
        <f>IF(B90="","",C90-E90)</f>
        <v/>
      </c>
      <c r="G90" s="19">
        <f>IF(B90="","",IF(OR(Rules!$B$5=0,B90&gt;=0),0,-B90/Rules!$B$5))</f>
        <v/>
      </c>
      <c r="H90" s="18">
        <f>IF(B90="","",C90-Rules!$B$3)</f>
        <v/>
      </c>
      <c r="I90" s="8" t="n"/>
      <c r="J90" s="20">
        <f>IF(B90="","",IF(C90&lt;=E90,"BREACH: floor",IF(G90&gt;=1,"BREACH: daily limit",IF(F90&lt;Rules!$B$6*0.25,"Caution","OK"))))</f>
        <v/>
      </c>
    </row>
    <row r="91">
      <c r="A91" s="17" t="n"/>
      <c r="B91" s="6" t="n"/>
      <c r="C91" s="18">
        <f>IF(B91="","",Rules!$B$3+SUM($B$5:B91))</f>
        <v/>
      </c>
      <c r="D91" s="18">
        <f>IF(B91="","",MAX(Rules!$B$3,MAX($C$5:C91)))</f>
        <v/>
      </c>
      <c r="E91" s="18">
        <f>IF(B91="","",IF(Rules!$B$7="Static",Rules!$B$3-Rules!$B$6,IF(Rules!$B$8="Yes",MIN(Rules!$B$3,D91-Rules!$B$6),D91-Rules!$B$6)))</f>
        <v/>
      </c>
      <c r="F91" s="18">
        <f>IF(B91="","",C91-E91)</f>
        <v/>
      </c>
      <c r="G91" s="19">
        <f>IF(B91="","",IF(OR(Rules!$B$5=0,B91&gt;=0),0,-B91/Rules!$B$5))</f>
        <v/>
      </c>
      <c r="H91" s="18">
        <f>IF(B91="","",C91-Rules!$B$3)</f>
        <v/>
      </c>
      <c r="I91" s="8" t="n"/>
      <c r="J91" s="20">
        <f>IF(B91="","",IF(C91&lt;=E91,"BREACH: floor",IF(G91&gt;=1,"BREACH: daily limit",IF(F91&lt;Rules!$B$6*0.25,"Caution","OK"))))</f>
        <v/>
      </c>
    </row>
    <row r="92">
      <c r="A92" s="17" t="n"/>
      <c r="B92" s="6" t="n"/>
      <c r="C92" s="18">
        <f>IF(B92="","",Rules!$B$3+SUM($B$5:B92))</f>
        <v/>
      </c>
      <c r="D92" s="18">
        <f>IF(B92="","",MAX(Rules!$B$3,MAX($C$5:C92)))</f>
        <v/>
      </c>
      <c r="E92" s="18">
        <f>IF(B92="","",IF(Rules!$B$7="Static",Rules!$B$3-Rules!$B$6,IF(Rules!$B$8="Yes",MIN(Rules!$B$3,D92-Rules!$B$6),D92-Rules!$B$6)))</f>
        <v/>
      </c>
      <c r="F92" s="18">
        <f>IF(B92="","",C92-E92)</f>
        <v/>
      </c>
      <c r="G92" s="19">
        <f>IF(B92="","",IF(OR(Rules!$B$5=0,B92&gt;=0),0,-B92/Rules!$B$5))</f>
        <v/>
      </c>
      <c r="H92" s="18">
        <f>IF(B92="","",C92-Rules!$B$3)</f>
        <v/>
      </c>
      <c r="I92" s="8" t="n"/>
      <c r="J92" s="20">
        <f>IF(B92="","",IF(C92&lt;=E92,"BREACH: floor",IF(G92&gt;=1,"BREACH: daily limit",IF(F92&lt;Rules!$B$6*0.25,"Caution","OK"))))</f>
        <v/>
      </c>
    </row>
    <row r="93">
      <c r="A93" s="17" t="n"/>
      <c r="B93" s="6" t="n"/>
      <c r="C93" s="18">
        <f>IF(B93="","",Rules!$B$3+SUM($B$5:B93))</f>
        <v/>
      </c>
      <c r="D93" s="18">
        <f>IF(B93="","",MAX(Rules!$B$3,MAX($C$5:C93)))</f>
        <v/>
      </c>
      <c r="E93" s="18">
        <f>IF(B93="","",IF(Rules!$B$7="Static",Rules!$B$3-Rules!$B$6,IF(Rules!$B$8="Yes",MIN(Rules!$B$3,D93-Rules!$B$6),D93-Rules!$B$6)))</f>
        <v/>
      </c>
      <c r="F93" s="18">
        <f>IF(B93="","",C93-E93)</f>
        <v/>
      </c>
      <c r="G93" s="19">
        <f>IF(B93="","",IF(OR(Rules!$B$5=0,B93&gt;=0),0,-B93/Rules!$B$5))</f>
        <v/>
      </c>
      <c r="H93" s="18">
        <f>IF(B93="","",C93-Rules!$B$3)</f>
        <v/>
      </c>
      <c r="I93" s="8" t="n"/>
      <c r="J93" s="20">
        <f>IF(B93="","",IF(C93&lt;=E93,"BREACH: floor",IF(G93&gt;=1,"BREACH: daily limit",IF(F93&lt;Rules!$B$6*0.25,"Caution","OK"))))</f>
        <v/>
      </c>
    </row>
    <row r="94">
      <c r="A94" s="17" t="n"/>
      <c r="B94" s="6" t="n"/>
      <c r="C94" s="18">
        <f>IF(B94="","",Rules!$B$3+SUM($B$5:B94))</f>
        <v/>
      </c>
      <c r="D94" s="18">
        <f>IF(B94="","",MAX(Rules!$B$3,MAX($C$5:C94)))</f>
        <v/>
      </c>
      <c r="E94" s="18">
        <f>IF(B94="","",IF(Rules!$B$7="Static",Rules!$B$3-Rules!$B$6,IF(Rules!$B$8="Yes",MIN(Rules!$B$3,D94-Rules!$B$6),D94-Rules!$B$6)))</f>
        <v/>
      </c>
      <c r="F94" s="18">
        <f>IF(B94="","",C94-E94)</f>
        <v/>
      </c>
      <c r="G94" s="19">
        <f>IF(B94="","",IF(OR(Rules!$B$5=0,B94&gt;=0),0,-B94/Rules!$B$5))</f>
        <v/>
      </c>
      <c r="H94" s="18">
        <f>IF(B94="","",C94-Rules!$B$3)</f>
        <v/>
      </c>
      <c r="I94" s="8" t="n"/>
      <c r="J94" s="20">
        <f>IF(B94="","",IF(C94&lt;=E94,"BREACH: floor",IF(G94&gt;=1,"BREACH: daily limit",IF(F94&lt;Rules!$B$6*0.25,"Caution","OK"))))</f>
        <v/>
      </c>
    </row>
    <row r="95">
      <c r="A95" s="17" t="n"/>
      <c r="B95" s="6" t="n"/>
      <c r="C95" s="18">
        <f>IF(B95="","",Rules!$B$3+SUM($B$5:B95))</f>
        <v/>
      </c>
      <c r="D95" s="18">
        <f>IF(B95="","",MAX(Rules!$B$3,MAX($C$5:C95)))</f>
        <v/>
      </c>
      <c r="E95" s="18">
        <f>IF(B95="","",IF(Rules!$B$7="Static",Rules!$B$3-Rules!$B$6,IF(Rules!$B$8="Yes",MIN(Rules!$B$3,D95-Rules!$B$6),D95-Rules!$B$6)))</f>
        <v/>
      </c>
      <c r="F95" s="18">
        <f>IF(B95="","",C95-E95)</f>
        <v/>
      </c>
      <c r="G95" s="19">
        <f>IF(B95="","",IF(OR(Rules!$B$5=0,B95&gt;=0),0,-B95/Rules!$B$5))</f>
        <v/>
      </c>
      <c r="H95" s="18">
        <f>IF(B95="","",C95-Rules!$B$3)</f>
        <v/>
      </c>
      <c r="I95" s="8" t="n"/>
      <c r="J95" s="20">
        <f>IF(B95="","",IF(C95&lt;=E95,"BREACH: floor",IF(G95&gt;=1,"BREACH: daily limit",IF(F95&lt;Rules!$B$6*0.25,"Caution","OK"))))</f>
        <v/>
      </c>
    </row>
    <row r="96">
      <c r="A96" s="17" t="n"/>
      <c r="B96" s="6" t="n"/>
      <c r="C96" s="18">
        <f>IF(B96="","",Rules!$B$3+SUM($B$5:B96))</f>
        <v/>
      </c>
      <c r="D96" s="18">
        <f>IF(B96="","",MAX(Rules!$B$3,MAX($C$5:C96)))</f>
        <v/>
      </c>
      <c r="E96" s="18">
        <f>IF(B96="","",IF(Rules!$B$7="Static",Rules!$B$3-Rules!$B$6,IF(Rules!$B$8="Yes",MIN(Rules!$B$3,D96-Rules!$B$6),D96-Rules!$B$6)))</f>
        <v/>
      </c>
      <c r="F96" s="18">
        <f>IF(B96="","",C96-E96)</f>
        <v/>
      </c>
      <c r="G96" s="19">
        <f>IF(B96="","",IF(OR(Rules!$B$5=0,B96&gt;=0),0,-B96/Rules!$B$5))</f>
        <v/>
      </c>
      <c r="H96" s="18">
        <f>IF(B96="","",C96-Rules!$B$3)</f>
        <v/>
      </c>
      <c r="I96" s="8" t="n"/>
      <c r="J96" s="20">
        <f>IF(B96="","",IF(C96&lt;=E96,"BREACH: floor",IF(G96&gt;=1,"BREACH: daily limit",IF(F96&lt;Rules!$B$6*0.25,"Caution","OK"))))</f>
        <v/>
      </c>
    </row>
    <row r="97">
      <c r="A97" s="17" t="n"/>
      <c r="B97" s="6" t="n"/>
      <c r="C97" s="18">
        <f>IF(B97="","",Rules!$B$3+SUM($B$5:B97))</f>
        <v/>
      </c>
      <c r="D97" s="18">
        <f>IF(B97="","",MAX(Rules!$B$3,MAX($C$5:C97)))</f>
        <v/>
      </c>
      <c r="E97" s="18">
        <f>IF(B97="","",IF(Rules!$B$7="Static",Rules!$B$3-Rules!$B$6,IF(Rules!$B$8="Yes",MIN(Rules!$B$3,D97-Rules!$B$6),D97-Rules!$B$6)))</f>
        <v/>
      </c>
      <c r="F97" s="18">
        <f>IF(B97="","",C97-E97)</f>
        <v/>
      </c>
      <c r="G97" s="19">
        <f>IF(B97="","",IF(OR(Rules!$B$5=0,B97&gt;=0),0,-B97/Rules!$B$5))</f>
        <v/>
      </c>
      <c r="H97" s="18">
        <f>IF(B97="","",C97-Rules!$B$3)</f>
        <v/>
      </c>
      <c r="I97" s="8" t="n"/>
      <c r="J97" s="20">
        <f>IF(B97="","",IF(C97&lt;=E97,"BREACH: floor",IF(G97&gt;=1,"BREACH: daily limit",IF(F97&lt;Rules!$B$6*0.25,"Caution","OK"))))</f>
        <v/>
      </c>
    </row>
    <row r="98">
      <c r="A98" s="17" t="n"/>
      <c r="B98" s="6" t="n"/>
      <c r="C98" s="18">
        <f>IF(B98="","",Rules!$B$3+SUM($B$5:B98))</f>
        <v/>
      </c>
      <c r="D98" s="18">
        <f>IF(B98="","",MAX(Rules!$B$3,MAX($C$5:C98)))</f>
        <v/>
      </c>
      <c r="E98" s="18">
        <f>IF(B98="","",IF(Rules!$B$7="Static",Rules!$B$3-Rules!$B$6,IF(Rules!$B$8="Yes",MIN(Rules!$B$3,D98-Rules!$B$6),D98-Rules!$B$6)))</f>
        <v/>
      </c>
      <c r="F98" s="18">
        <f>IF(B98="","",C98-E98)</f>
        <v/>
      </c>
      <c r="G98" s="19">
        <f>IF(B98="","",IF(OR(Rules!$B$5=0,B98&gt;=0),0,-B98/Rules!$B$5))</f>
        <v/>
      </c>
      <c r="H98" s="18">
        <f>IF(B98="","",C98-Rules!$B$3)</f>
        <v/>
      </c>
      <c r="I98" s="8" t="n"/>
      <c r="J98" s="20">
        <f>IF(B98="","",IF(C98&lt;=E98,"BREACH: floor",IF(G98&gt;=1,"BREACH: daily limit",IF(F98&lt;Rules!$B$6*0.25,"Caution","OK"))))</f>
        <v/>
      </c>
    </row>
    <row r="99">
      <c r="A99" s="17" t="n"/>
      <c r="B99" s="6" t="n"/>
      <c r="C99" s="18">
        <f>IF(B99="","",Rules!$B$3+SUM($B$5:B99))</f>
        <v/>
      </c>
      <c r="D99" s="18">
        <f>IF(B99="","",MAX(Rules!$B$3,MAX($C$5:C99)))</f>
        <v/>
      </c>
      <c r="E99" s="18">
        <f>IF(B99="","",IF(Rules!$B$7="Static",Rules!$B$3-Rules!$B$6,IF(Rules!$B$8="Yes",MIN(Rules!$B$3,D99-Rules!$B$6),D99-Rules!$B$6)))</f>
        <v/>
      </c>
      <c r="F99" s="18">
        <f>IF(B99="","",C99-E99)</f>
        <v/>
      </c>
      <c r="G99" s="19">
        <f>IF(B99="","",IF(OR(Rules!$B$5=0,B99&gt;=0),0,-B99/Rules!$B$5))</f>
        <v/>
      </c>
      <c r="H99" s="18">
        <f>IF(B99="","",C99-Rules!$B$3)</f>
        <v/>
      </c>
      <c r="I99" s="8" t="n"/>
      <c r="J99" s="20">
        <f>IF(B99="","",IF(C99&lt;=E99,"BREACH: floor",IF(G99&gt;=1,"BREACH: daily limit",IF(F99&lt;Rules!$B$6*0.25,"Caution","OK"))))</f>
        <v/>
      </c>
    </row>
    <row r="100">
      <c r="A100" s="17" t="n"/>
      <c r="B100" s="6" t="n"/>
      <c r="C100" s="18">
        <f>IF(B100="","",Rules!$B$3+SUM($B$5:B100))</f>
        <v/>
      </c>
      <c r="D100" s="18">
        <f>IF(B100="","",MAX(Rules!$B$3,MAX($C$5:C100)))</f>
        <v/>
      </c>
      <c r="E100" s="18">
        <f>IF(B100="","",IF(Rules!$B$7="Static",Rules!$B$3-Rules!$B$6,IF(Rules!$B$8="Yes",MIN(Rules!$B$3,D100-Rules!$B$6),D100-Rules!$B$6)))</f>
        <v/>
      </c>
      <c r="F100" s="18">
        <f>IF(B100="","",C100-E100)</f>
        <v/>
      </c>
      <c r="G100" s="19">
        <f>IF(B100="","",IF(OR(Rules!$B$5=0,B100&gt;=0),0,-B100/Rules!$B$5))</f>
        <v/>
      </c>
      <c r="H100" s="18">
        <f>IF(B100="","",C100-Rules!$B$3)</f>
        <v/>
      </c>
      <c r="I100" s="8" t="n"/>
      <c r="J100" s="20">
        <f>IF(B100="","",IF(C100&lt;=E100,"BREACH: floor",IF(G100&gt;=1,"BREACH: daily limit",IF(F100&lt;Rules!$B$6*0.25,"Caution","OK"))))</f>
        <v/>
      </c>
    </row>
    <row r="101">
      <c r="A101" s="17" t="n"/>
      <c r="B101" s="6" t="n"/>
      <c r="C101" s="18">
        <f>IF(B101="","",Rules!$B$3+SUM($B$5:B101))</f>
        <v/>
      </c>
      <c r="D101" s="18">
        <f>IF(B101="","",MAX(Rules!$B$3,MAX($C$5:C101)))</f>
        <v/>
      </c>
      <c r="E101" s="18">
        <f>IF(B101="","",IF(Rules!$B$7="Static",Rules!$B$3-Rules!$B$6,IF(Rules!$B$8="Yes",MIN(Rules!$B$3,D101-Rules!$B$6),D101-Rules!$B$6)))</f>
        <v/>
      </c>
      <c r="F101" s="18">
        <f>IF(B101="","",C101-E101)</f>
        <v/>
      </c>
      <c r="G101" s="19">
        <f>IF(B101="","",IF(OR(Rules!$B$5=0,B101&gt;=0),0,-B101/Rules!$B$5))</f>
        <v/>
      </c>
      <c r="H101" s="18">
        <f>IF(B101="","",C101-Rules!$B$3)</f>
        <v/>
      </c>
      <c r="I101" s="8" t="n"/>
      <c r="J101" s="20">
        <f>IF(B101="","",IF(C101&lt;=E101,"BREACH: floor",IF(G101&gt;=1,"BREACH: daily limit",IF(F101&lt;Rules!$B$6*0.25,"Caution","OK"))))</f>
        <v/>
      </c>
    </row>
    <row r="102">
      <c r="A102" s="17" t="n"/>
      <c r="B102" s="6" t="n"/>
      <c r="C102" s="18">
        <f>IF(B102="","",Rules!$B$3+SUM($B$5:B102))</f>
        <v/>
      </c>
      <c r="D102" s="18">
        <f>IF(B102="","",MAX(Rules!$B$3,MAX($C$5:C102)))</f>
        <v/>
      </c>
      <c r="E102" s="18">
        <f>IF(B102="","",IF(Rules!$B$7="Static",Rules!$B$3-Rules!$B$6,IF(Rules!$B$8="Yes",MIN(Rules!$B$3,D102-Rules!$B$6),D102-Rules!$B$6)))</f>
        <v/>
      </c>
      <c r="F102" s="18">
        <f>IF(B102="","",C102-E102)</f>
        <v/>
      </c>
      <c r="G102" s="19">
        <f>IF(B102="","",IF(OR(Rules!$B$5=0,B102&gt;=0),0,-B102/Rules!$B$5))</f>
        <v/>
      </c>
      <c r="H102" s="18">
        <f>IF(B102="","",C102-Rules!$B$3)</f>
        <v/>
      </c>
      <c r="I102" s="8" t="n"/>
      <c r="J102" s="20">
        <f>IF(B102="","",IF(C102&lt;=E102,"BREACH: floor",IF(G102&gt;=1,"BREACH: daily limit",IF(F102&lt;Rules!$B$6*0.25,"Caution","OK"))))</f>
        <v/>
      </c>
    </row>
    <row r="103">
      <c r="A103" s="17" t="n"/>
      <c r="B103" s="6" t="n"/>
      <c r="C103" s="18">
        <f>IF(B103="","",Rules!$B$3+SUM($B$5:B103))</f>
        <v/>
      </c>
      <c r="D103" s="18">
        <f>IF(B103="","",MAX(Rules!$B$3,MAX($C$5:C103)))</f>
        <v/>
      </c>
      <c r="E103" s="18">
        <f>IF(B103="","",IF(Rules!$B$7="Static",Rules!$B$3-Rules!$B$6,IF(Rules!$B$8="Yes",MIN(Rules!$B$3,D103-Rules!$B$6),D103-Rules!$B$6)))</f>
        <v/>
      </c>
      <c r="F103" s="18">
        <f>IF(B103="","",C103-E103)</f>
        <v/>
      </c>
      <c r="G103" s="19">
        <f>IF(B103="","",IF(OR(Rules!$B$5=0,B103&gt;=0),0,-B103/Rules!$B$5))</f>
        <v/>
      </c>
      <c r="H103" s="18">
        <f>IF(B103="","",C103-Rules!$B$3)</f>
        <v/>
      </c>
      <c r="I103" s="8" t="n"/>
      <c r="J103" s="20">
        <f>IF(B103="","",IF(C103&lt;=E103,"BREACH: floor",IF(G103&gt;=1,"BREACH: daily limit",IF(F103&lt;Rules!$B$6*0.25,"Caution","OK"))))</f>
        <v/>
      </c>
    </row>
    <row r="104">
      <c r="A104" s="17" t="n"/>
      <c r="B104" s="6" t="n"/>
      <c r="C104" s="18">
        <f>IF(B104="","",Rules!$B$3+SUM($B$5:B104))</f>
        <v/>
      </c>
      <c r="D104" s="18">
        <f>IF(B104="","",MAX(Rules!$B$3,MAX($C$5:C104)))</f>
        <v/>
      </c>
      <c r="E104" s="18">
        <f>IF(B104="","",IF(Rules!$B$7="Static",Rules!$B$3-Rules!$B$6,IF(Rules!$B$8="Yes",MIN(Rules!$B$3,D104-Rules!$B$6),D104-Rules!$B$6)))</f>
        <v/>
      </c>
      <c r="F104" s="18">
        <f>IF(B104="","",C104-E104)</f>
        <v/>
      </c>
      <c r="G104" s="19">
        <f>IF(B104="","",IF(OR(Rules!$B$5=0,B104&gt;=0),0,-B104/Rules!$B$5))</f>
        <v/>
      </c>
      <c r="H104" s="18">
        <f>IF(B104="","",C104-Rules!$B$3)</f>
        <v/>
      </c>
      <c r="I104" s="8" t="n"/>
      <c r="J104" s="20">
        <f>IF(B104="","",IF(C104&lt;=E104,"BREACH: floor",IF(G104&gt;=1,"BREACH: daily limit",IF(F104&lt;Rules!$B$6*0.25,"Caution","OK"))))</f>
        <v/>
      </c>
    </row>
    <row r="105">
      <c r="A105" s="17" t="n"/>
      <c r="B105" s="6" t="n"/>
      <c r="C105" s="18">
        <f>IF(B105="","",Rules!$B$3+SUM($B$5:B105))</f>
        <v/>
      </c>
      <c r="D105" s="18">
        <f>IF(B105="","",MAX(Rules!$B$3,MAX($C$5:C105)))</f>
        <v/>
      </c>
      <c r="E105" s="18">
        <f>IF(B105="","",IF(Rules!$B$7="Static",Rules!$B$3-Rules!$B$6,IF(Rules!$B$8="Yes",MIN(Rules!$B$3,D105-Rules!$B$6),D105-Rules!$B$6)))</f>
        <v/>
      </c>
      <c r="F105" s="18">
        <f>IF(B105="","",C105-E105)</f>
        <v/>
      </c>
      <c r="G105" s="19">
        <f>IF(B105="","",IF(OR(Rules!$B$5=0,B105&gt;=0),0,-B105/Rules!$B$5))</f>
        <v/>
      </c>
      <c r="H105" s="18">
        <f>IF(B105="","",C105-Rules!$B$3)</f>
        <v/>
      </c>
      <c r="I105" s="8" t="n"/>
      <c r="J105" s="20">
        <f>IF(B105="","",IF(C105&lt;=E105,"BREACH: floor",IF(G105&gt;=1,"BREACH: daily limit",IF(F105&lt;Rules!$B$6*0.25,"Caution","OK"))))</f>
        <v/>
      </c>
    </row>
    <row r="106">
      <c r="A106" s="17" t="n"/>
      <c r="B106" s="6" t="n"/>
      <c r="C106" s="18">
        <f>IF(B106="","",Rules!$B$3+SUM($B$5:B106))</f>
        <v/>
      </c>
      <c r="D106" s="18">
        <f>IF(B106="","",MAX(Rules!$B$3,MAX($C$5:C106)))</f>
        <v/>
      </c>
      <c r="E106" s="18">
        <f>IF(B106="","",IF(Rules!$B$7="Static",Rules!$B$3-Rules!$B$6,IF(Rules!$B$8="Yes",MIN(Rules!$B$3,D106-Rules!$B$6),D106-Rules!$B$6)))</f>
        <v/>
      </c>
      <c r="F106" s="18">
        <f>IF(B106="","",C106-E106)</f>
        <v/>
      </c>
      <c r="G106" s="19">
        <f>IF(B106="","",IF(OR(Rules!$B$5=0,B106&gt;=0),0,-B106/Rules!$B$5))</f>
        <v/>
      </c>
      <c r="H106" s="18">
        <f>IF(B106="","",C106-Rules!$B$3)</f>
        <v/>
      </c>
      <c r="I106" s="8" t="n"/>
      <c r="J106" s="20">
        <f>IF(B106="","",IF(C106&lt;=E106,"BREACH: floor",IF(G106&gt;=1,"BREACH: daily limit",IF(F106&lt;Rules!$B$6*0.25,"Caution","OK"))))</f>
        <v/>
      </c>
    </row>
    <row r="107">
      <c r="A107" s="17" t="n"/>
      <c r="B107" s="6" t="n"/>
      <c r="C107" s="18">
        <f>IF(B107="","",Rules!$B$3+SUM($B$5:B107))</f>
        <v/>
      </c>
      <c r="D107" s="18">
        <f>IF(B107="","",MAX(Rules!$B$3,MAX($C$5:C107)))</f>
        <v/>
      </c>
      <c r="E107" s="18">
        <f>IF(B107="","",IF(Rules!$B$7="Static",Rules!$B$3-Rules!$B$6,IF(Rules!$B$8="Yes",MIN(Rules!$B$3,D107-Rules!$B$6),D107-Rules!$B$6)))</f>
        <v/>
      </c>
      <c r="F107" s="18">
        <f>IF(B107="","",C107-E107)</f>
        <v/>
      </c>
      <c r="G107" s="19">
        <f>IF(B107="","",IF(OR(Rules!$B$5=0,B107&gt;=0),0,-B107/Rules!$B$5))</f>
        <v/>
      </c>
      <c r="H107" s="18">
        <f>IF(B107="","",C107-Rules!$B$3)</f>
        <v/>
      </c>
      <c r="I107" s="8" t="n"/>
      <c r="J107" s="20">
        <f>IF(B107="","",IF(C107&lt;=E107,"BREACH: floor",IF(G107&gt;=1,"BREACH: daily limit",IF(F107&lt;Rules!$B$6*0.25,"Caution","OK"))))</f>
        <v/>
      </c>
    </row>
    <row r="108">
      <c r="A108" s="17" t="n"/>
      <c r="B108" s="6" t="n"/>
      <c r="C108" s="18">
        <f>IF(B108="","",Rules!$B$3+SUM($B$5:B108))</f>
        <v/>
      </c>
      <c r="D108" s="18">
        <f>IF(B108="","",MAX(Rules!$B$3,MAX($C$5:C108)))</f>
        <v/>
      </c>
      <c r="E108" s="18">
        <f>IF(B108="","",IF(Rules!$B$7="Static",Rules!$B$3-Rules!$B$6,IF(Rules!$B$8="Yes",MIN(Rules!$B$3,D108-Rules!$B$6),D108-Rules!$B$6)))</f>
        <v/>
      </c>
      <c r="F108" s="18">
        <f>IF(B108="","",C108-E108)</f>
        <v/>
      </c>
      <c r="G108" s="19">
        <f>IF(B108="","",IF(OR(Rules!$B$5=0,B108&gt;=0),0,-B108/Rules!$B$5))</f>
        <v/>
      </c>
      <c r="H108" s="18">
        <f>IF(B108="","",C108-Rules!$B$3)</f>
        <v/>
      </c>
      <c r="I108" s="8" t="n"/>
      <c r="J108" s="20">
        <f>IF(B108="","",IF(C108&lt;=E108,"BREACH: floor",IF(G108&gt;=1,"BREACH: daily limit",IF(F108&lt;Rules!$B$6*0.25,"Caution","OK"))))</f>
        <v/>
      </c>
    </row>
    <row r="109">
      <c r="A109" s="17" t="n"/>
      <c r="B109" s="6" t="n"/>
      <c r="C109" s="18">
        <f>IF(B109="","",Rules!$B$3+SUM($B$5:B109))</f>
        <v/>
      </c>
      <c r="D109" s="18">
        <f>IF(B109="","",MAX(Rules!$B$3,MAX($C$5:C109)))</f>
        <v/>
      </c>
      <c r="E109" s="18">
        <f>IF(B109="","",IF(Rules!$B$7="Static",Rules!$B$3-Rules!$B$6,IF(Rules!$B$8="Yes",MIN(Rules!$B$3,D109-Rules!$B$6),D109-Rules!$B$6)))</f>
        <v/>
      </c>
      <c r="F109" s="18">
        <f>IF(B109="","",C109-E109)</f>
        <v/>
      </c>
      <c r="G109" s="19">
        <f>IF(B109="","",IF(OR(Rules!$B$5=0,B109&gt;=0),0,-B109/Rules!$B$5))</f>
        <v/>
      </c>
      <c r="H109" s="18">
        <f>IF(B109="","",C109-Rules!$B$3)</f>
        <v/>
      </c>
      <c r="I109" s="8" t="n"/>
      <c r="J109" s="20">
        <f>IF(B109="","",IF(C109&lt;=E109,"BREACH: floor",IF(G109&gt;=1,"BREACH: daily limit",IF(F109&lt;Rules!$B$6*0.25,"Caution","OK"))))</f>
        <v/>
      </c>
    </row>
    <row r="110">
      <c r="A110" s="17" t="n"/>
      <c r="B110" s="6" t="n"/>
      <c r="C110" s="18">
        <f>IF(B110="","",Rules!$B$3+SUM($B$5:B110))</f>
        <v/>
      </c>
      <c r="D110" s="18">
        <f>IF(B110="","",MAX(Rules!$B$3,MAX($C$5:C110)))</f>
        <v/>
      </c>
      <c r="E110" s="18">
        <f>IF(B110="","",IF(Rules!$B$7="Static",Rules!$B$3-Rules!$B$6,IF(Rules!$B$8="Yes",MIN(Rules!$B$3,D110-Rules!$B$6),D110-Rules!$B$6)))</f>
        <v/>
      </c>
      <c r="F110" s="18">
        <f>IF(B110="","",C110-E110)</f>
        <v/>
      </c>
      <c r="G110" s="19">
        <f>IF(B110="","",IF(OR(Rules!$B$5=0,B110&gt;=0),0,-B110/Rules!$B$5))</f>
        <v/>
      </c>
      <c r="H110" s="18">
        <f>IF(B110="","",C110-Rules!$B$3)</f>
        <v/>
      </c>
      <c r="I110" s="8" t="n"/>
      <c r="J110" s="20">
        <f>IF(B110="","",IF(C110&lt;=E110,"BREACH: floor",IF(G110&gt;=1,"BREACH: daily limit",IF(F110&lt;Rules!$B$6*0.25,"Caution","OK"))))</f>
        <v/>
      </c>
    </row>
    <row r="111">
      <c r="A111" s="17" t="n"/>
      <c r="B111" s="6" t="n"/>
      <c r="C111" s="18">
        <f>IF(B111="","",Rules!$B$3+SUM($B$5:B111))</f>
        <v/>
      </c>
      <c r="D111" s="18">
        <f>IF(B111="","",MAX(Rules!$B$3,MAX($C$5:C111)))</f>
        <v/>
      </c>
      <c r="E111" s="18">
        <f>IF(B111="","",IF(Rules!$B$7="Static",Rules!$B$3-Rules!$B$6,IF(Rules!$B$8="Yes",MIN(Rules!$B$3,D111-Rules!$B$6),D111-Rules!$B$6)))</f>
        <v/>
      </c>
      <c r="F111" s="18">
        <f>IF(B111="","",C111-E111)</f>
        <v/>
      </c>
      <c r="G111" s="19">
        <f>IF(B111="","",IF(OR(Rules!$B$5=0,B111&gt;=0),0,-B111/Rules!$B$5))</f>
        <v/>
      </c>
      <c r="H111" s="18">
        <f>IF(B111="","",C111-Rules!$B$3)</f>
        <v/>
      </c>
      <c r="I111" s="8" t="n"/>
      <c r="J111" s="20">
        <f>IF(B111="","",IF(C111&lt;=E111,"BREACH: floor",IF(G111&gt;=1,"BREACH: daily limit",IF(F111&lt;Rules!$B$6*0.25,"Caution","OK"))))</f>
        <v/>
      </c>
    </row>
    <row r="112">
      <c r="A112" s="17" t="n"/>
      <c r="B112" s="6" t="n"/>
      <c r="C112" s="18">
        <f>IF(B112="","",Rules!$B$3+SUM($B$5:B112))</f>
        <v/>
      </c>
      <c r="D112" s="18">
        <f>IF(B112="","",MAX(Rules!$B$3,MAX($C$5:C112)))</f>
        <v/>
      </c>
      <c r="E112" s="18">
        <f>IF(B112="","",IF(Rules!$B$7="Static",Rules!$B$3-Rules!$B$6,IF(Rules!$B$8="Yes",MIN(Rules!$B$3,D112-Rules!$B$6),D112-Rules!$B$6)))</f>
        <v/>
      </c>
      <c r="F112" s="18">
        <f>IF(B112="","",C112-E112)</f>
        <v/>
      </c>
      <c r="G112" s="19">
        <f>IF(B112="","",IF(OR(Rules!$B$5=0,B112&gt;=0),0,-B112/Rules!$B$5))</f>
        <v/>
      </c>
      <c r="H112" s="18">
        <f>IF(B112="","",C112-Rules!$B$3)</f>
        <v/>
      </c>
      <c r="I112" s="8" t="n"/>
      <c r="J112" s="20">
        <f>IF(B112="","",IF(C112&lt;=E112,"BREACH: floor",IF(G112&gt;=1,"BREACH: daily limit",IF(F112&lt;Rules!$B$6*0.25,"Caution","OK"))))</f>
        <v/>
      </c>
    </row>
    <row r="113">
      <c r="A113" s="17" t="n"/>
      <c r="B113" s="6" t="n"/>
      <c r="C113" s="18">
        <f>IF(B113="","",Rules!$B$3+SUM($B$5:B113))</f>
        <v/>
      </c>
      <c r="D113" s="18">
        <f>IF(B113="","",MAX(Rules!$B$3,MAX($C$5:C113)))</f>
        <v/>
      </c>
      <c r="E113" s="18">
        <f>IF(B113="","",IF(Rules!$B$7="Static",Rules!$B$3-Rules!$B$6,IF(Rules!$B$8="Yes",MIN(Rules!$B$3,D113-Rules!$B$6),D113-Rules!$B$6)))</f>
        <v/>
      </c>
      <c r="F113" s="18">
        <f>IF(B113="","",C113-E113)</f>
        <v/>
      </c>
      <c r="G113" s="19">
        <f>IF(B113="","",IF(OR(Rules!$B$5=0,B113&gt;=0),0,-B113/Rules!$B$5))</f>
        <v/>
      </c>
      <c r="H113" s="18">
        <f>IF(B113="","",C113-Rules!$B$3)</f>
        <v/>
      </c>
      <c r="I113" s="8" t="n"/>
      <c r="J113" s="20">
        <f>IF(B113="","",IF(C113&lt;=E113,"BREACH: floor",IF(G113&gt;=1,"BREACH: daily limit",IF(F113&lt;Rules!$B$6*0.25,"Caution","OK"))))</f>
        <v/>
      </c>
    </row>
    <row r="114">
      <c r="A114" s="17" t="n"/>
      <c r="B114" s="6" t="n"/>
      <c r="C114" s="18">
        <f>IF(B114="","",Rules!$B$3+SUM($B$5:B114))</f>
        <v/>
      </c>
      <c r="D114" s="18">
        <f>IF(B114="","",MAX(Rules!$B$3,MAX($C$5:C114)))</f>
        <v/>
      </c>
      <c r="E114" s="18">
        <f>IF(B114="","",IF(Rules!$B$7="Static",Rules!$B$3-Rules!$B$6,IF(Rules!$B$8="Yes",MIN(Rules!$B$3,D114-Rules!$B$6),D114-Rules!$B$6)))</f>
        <v/>
      </c>
      <c r="F114" s="18">
        <f>IF(B114="","",C114-E114)</f>
        <v/>
      </c>
      <c r="G114" s="19">
        <f>IF(B114="","",IF(OR(Rules!$B$5=0,B114&gt;=0),0,-B114/Rules!$B$5))</f>
        <v/>
      </c>
      <c r="H114" s="18">
        <f>IF(B114="","",C114-Rules!$B$3)</f>
        <v/>
      </c>
      <c r="I114" s="8" t="n"/>
      <c r="J114" s="20">
        <f>IF(B114="","",IF(C114&lt;=E114,"BREACH: floor",IF(G114&gt;=1,"BREACH: daily limit",IF(F114&lt;Rules!$B$6*0.25,"Caution","OK"))))</f>
        <v/>
      </c>
    </row>
    <row r="115">
      <c r="A115" s="17" t="n"/>
      <c r="B115" s="6" t="n"/>
      <c r="C115" s="18">
        <f>IF(B115="","",Rules!$B$3+SUM($B$5:B115))</f>
        <v/>
      </c>
      <c r="D115" s="18">
        <f>IF(B115="","",MAX(Rules!$B$3,MAX($C$5:C115)))</f>
        <v/>
      </c>
      <c r="E115" s="18">
        <f>IF(B115="","",IF(Rules!$B$7="Static",Rules!$B$3-Rules!$B$6,IF(Rules!$B$8="Yes",MIN(Rules!$B$3,D115-Rules!$B$6),D115-Rules!$B$6)))</f>
        <v/>
      </c>
      <c r="F115" s="18">
        <f>IF(B115="","",C115-E115)</f>
        <v/>
      </c>
      <c r="G115" s="19">
        <f>IF(B115="","",IF(OR(Rules!$B$5=0,B115&gt;=0),0,-B115/Rules!$B$5))</f>
        <v/>
      </c>
      <c r="H115" s="18">
        <f>IF(B115="","",C115-Rules!$B$3)</f>
        <v/>
      </c>
      <c r="I115" s="8" t="n"/>
      <c r="J115" s="20">
        <f>IF(B115="","",IF(C115&lt;=E115,"BREACH: floor",IF(G115&gt;=1,"BREACH: daily limit",IF(F115&lt;Rules!$B$6*0.25,"Caution","OK"))))</f>
        <v/>
      </c>
    </row>
    <row r="116">
      <c r="A116" s="17" t="n"/>
      <c r="B116" s="6" t="n"/>
      <c r="C116" s="18">
        <f>IF(B116="","",Rules!$B$3+SUM($B$5:B116))</f>
        <v/>
      </c>
      <c r="D116" s="18">
        <f>IF(B116="","",MAX(Rules!$B$3,MAX($C$5:C116)))</f>
        <v/>
      </c>
      <c r="E116" s="18">
        <f>IF(B116="","",IF(Rules!$B$7="Static",Rules!$B$3-Rules!$B$6,IF(Rules!$B$8="Yes",MIN(Rules!$B$3,D116-Rules!$B$6),D116-Rules!$B$6)))</f>
        <v/>
      </c>
      <c r="F116" s="18">
        <f>IF(B116="","",C116-E116)</f>
        <v/>
      </c>
      <c r="G116" s="19">
        <f>IF(B116="","",IF(OR(Rules!$B$5=0,B116&gt;=0),0,-B116/Rules!$B$5))</f>
        <v/>
      </c>
      <c r="H116" s="18">
        <f>IF(B116="","",C116-Rules!$B$3)</f>
        <v/>
      </c>
      <c r="I116" s="8" t="n"/>
      <c r="J116" s="20">
        <f>IF(B116="","",IF(C116&lt;=E116,"BREACH: floor",IF(G116&gt;=1,"BREACH: daily limit",IF(F116&lt;Rules!$B$6*0.25,"Caution","OK"))))</f>
        <v/>
      </c>
    </row>
    <row r="117">
      <c r="A117" s="17" t="n"/>
      <c r="B117" s="6" t="n"/>
      <c r="C117" s="18">
        <f>IF(B117="","",Rules!$B$3+SUM($B$5:B117))</f>
        <v/>
      </c>
      <c r="D117" s="18">
        <f>IF(B117="","",MAX(Rules!$B$3,MAX($C$5:C117)))</f>
        <v/>
      </c>
      <c r="E117" s="18">
        <f>IF(B117="","",IF(Rules!$B$7="Static",Rules!$B$3-Rules!$B$6,IF(Rules!$B$8="Yes",MIN(Rules!$B$3,D117-Rules!$B$6),D117-Rules!$B$6)))</f>
        <v/>
      </c>
      <c r="F117" s="18">
        <f>IF(B117="","",C117-E117)</f>
        <v/>
      </c>
      <c r="G117" s="19">
        <f>IF(B117="","",IF(OR(Rules!$B$5=0,B117&gt;=0),0,-B117/Rules!$B$5))</f>
        <v/>
      </c>
      <c r="H117" s="18">
        <f>IF(B117="","",C117-Rules!$B$3)</f>
        <v/>
      </c>
      <c r="I117" s="8" t="n"/>
      <c r="J117" s="20">
        <f>IF(B117="","",IF(C117&lt;=E117,"BREACH: floor",IF(G117&gt;=1,"BREACH: daily limit",IF(F117&lt;Rules!$B$6*0.25,"Caution","OK"))))</f>
        <v/>
      </c>
    </row>
    <row r="118">
      <c r="A118" s="17" t="n"/>
      <c r="B118" s="6" t="n"/>
      <c r="C118" s="18">
        <f>IF(B118="","",Rules!$B$3+SUM($B$5:B118))</f>
        <v/>
      </c>
      <c r="D118" s="18">
        <f>IF(B118="","",MAX(Rules!$B$3,MAX($C$5:C118)))</f>
        <v/>
      </c>
      <c r="E118" s="18">
        <f>IF(B118="","",IF(Rules!$B$7="Static",Rules!$B$3-Rules!$B$6,IF(Rules!$B$8="Yes",MIN(Rules!$B$3,D118-Rules!$B$6),D118-Rules!$B$6)))</f>
        <v/>
      </c>
      <c r="F118" s="18">
        <f>IF(B118="","",C118-E118)</f>
        <v/>
      </c>
      <c r="G118" s="19">
        <f>IF(B118="","",IF(OR(Rules!$B$5=0,B118&gt;=0),0,-B118/Rules!$B$5))</f>
        <v/>
      </c>
      <c r="H118" s="18">
        <f>IF(B118="","",C118-Rules!$B$3)</f>
        <v/>
      </c>
      <c r="I118" s="8" t="n"/>
      <c r="J118" s="20">
        <f>IF(B118="","",IF(C118&lt;=E118,"BREACH: floor",IF(G118&gt;=1,"BREACH: daily limit",IF(F118&lt;Rules!$B$6*0.25,"Caution","OK"))))</f>
        <v/>
      </c>
    </row>
    <row r="119">
      <c r="A119" s="17" t="n"/>
      <c r="B119" s="6" t="n"/>
      <c r="C119" s="18">
        <f>IF(B119="","",Rules!$B$3+SUM($B$5:B119))</f>
        <v/>
      </c>
      <c r="D119" s="18">
        <f>IF(B119="","",MAX(Rules!$B$3,MAX($C$5:C119)))</f>
        <v/>
      </c>
      <c r="E119" s="18">
        <f>IF(B119="","",IF(Rules!$B$7="Static",Rules!$B$3-Rules!$B$6,IF(Rules!$B$8="Yes",MIN(Rules!$B$3,D119-Rules!$B$6),D119-Rules!$B$6)))</f>
        <v/>
      </c>
      <c r="F119" s="18">
        <f>IF(B119="","",C119-E119)</f>
        <v/>
      </c>
      <c r="G119" s="19">
        <f>IF(B119="","",IF(OR(Rules!$B$5=0,B119&gt;=0),0,-B119/Rules!$B$5))</f>
        <v/>
      </c>
      <c r="H119" s="18">
        <f>IF(B119="","",C119-Rules!$B$3)</f>
        <v/>
      </c>
      <c r="I119" s="8" t="n"/>
      <c r="J119" s="20">
        <f>IF(B119="","",IF(C119&lt;=E119,"BREACH: floor",IF(G119&gt;=1,"BREACH: daily limit",IF(F119&lt;Rules!$B$6*0.25,"Caution","OK"))))</f>
        <v/>
      </c>
    </row>
    <row r="120">
      <c r="A120" s="17" t="n"/>
      <c r="B120" s="6" t="n"/>
      <c r="C120" s="18">
        <f>IF(B120="","",Rules!$B$3+SUM($B$5:B120))</f>
        <v/>
      </c>
      <c r="D120" s="18">
        <f>IF(B120="","",MAX(Rules!$B$3,MAX($C$5:C120)))</f>
        <v/>
      </c>
      <c r="E120" s="18">
        <f>IF(B120="","",IF(Rules!$B$7="Static",Rules!$B$3-Rules!$B$6,IF(Rules!$B$8="Yes",MIN(Rules!$B$3,D120-Rules!$B$6),D120-Rules!$B$6)))</f>
        <v/>
      </c>
      <c r="F120" s="18">
        <f>IF(B120="","",C120-E120)</f>
        <v/>
      </c>
      <c r="G120" s="19">
        <f>IF(B120="","",IF(OR(Rules!$B$5=0,B120&gt;=0),0,-B120/Rules!$B$5))</f>
        <v/>
      </c>
      <c r="H120" s="18">
        <f>IF(B120="","",C120-Rules!$B$3)</f>
        <v/>
      </c>
      <c r="I120" s="8" t="n"/>
      <c r="J120" s="20">
        <f>IF(B120="","",IF(C120&lt;=E120,"BREACH: floor",IF(G120&gt;=1,"BREACH: daily limit",IF(F120&lt;Rules!$B$6*0.25,"Caution","OK"))))</f>
        <v/>
      </c>
    </row>
    <row r="121">
      <c r="A121" s="17" t="n"/>
      <c r="B121" s="6" t="n"/>
      <c r="C121" s="18">
        <f>IF(B121="","",Rules!$B$3+SUM($B$5:B121))</f>
        <v/>
      </c>
      <c r="D121" s="18">
        <f>IF(B121="","",MAX(Rules!$B$3,MAX($C$5:C121)))</f>
        <v/>
      </c>
      <c r="E121" s="18">
        <f>IF(B121="","",IF(Rules!$B$7="Static",Rules!$B$3-Rules!$B$6,IF(Rules!$B$8="Yes",MIN(Rules!$B$3,D121-Rules!$B$6),D121-Rules!$B$6)))</f>
        <v/>
      </c>
      <c r="F121" s="18">
        <f>IF(B121="","",C121-E121)</f>
        <v/>
      </c>
      <c r="G121" s="19">
        <f>IF(B121="","",IF(OR(Rules!$B$5=0,B121&gt;=0),0,-B121/Rules!$B$5))</f>
        <v/>
      </c>
      <c r="H121" s="18">
        <f>IF(B121="","",C121-Rules!$B$3)</f>
        <v/>
      </c>
      <c r="I121" s="8" t="n"/>
      <c r="J121" s="20">
        <f>IF(B121="","",IF(C121&lt;=E121,"BREACH: floor",IF(G121&gt;=1,"BREACH: daily limit",IF(F121&lt;Rules!$B$6*0.25,"Caution","OK"))))</f>
        <v/>
      </c>
    </row>
    <row r="122">
      <c r="A122" s="17" t="n"/>
      <c r="B122" s="6" t="n"/>
      <c r="C122" s="18">
        <f>IF(B122="","",Rules!$B$3+SUM($B$5:B122))</f>
        <v/>
      </c>
      <c r="D122" s="18">
        <f>IF(B122="","",MAX(Rules!$B$3,MAX($C$5:C122)))</f>
        <v/>
      </c>
      <c r="E122" s="18">
        <f>IF(B122="","",IF(Rules!$B$7="Static",Rules!$B$3-Rules!$B$6,IF(Rules!$B$8="Yes",MIN(Rules!$B$3,D122-Rules!$B$6),D122-Rules!$B$6)))</f>
        <v/>
      </c>
      <c r="F122" s="18">
        <f>IF(B122="","",C122-E122)</f>
        <v/>
      </c>
      <c r="G122" s="19">
        <f>IF(B122="","",IF(OR(Rules!$B$5=0,B122&gt;=0),0,-B122/Rules!$B$5))</f>
        <v/>
      </c>
      <c r="H122" s="18">
        <f>IF(B122="","",C122-Rules!$B$3)</f>
        <v/>
      </c>
      <c r="I122" s="8" t="n"/>
      <c r="J122" s="20">
        <f>IF(B122="","",IF(C122&lt;=E122,"BREACH: floor",IF(G122&gt;=1,"BREACH: daily limit",IF(F122&lt;Rules!$B$6*0.25,"Caution","OK"))))</f>
        <v/>
      </c>
    </row>
    <row r="123">
      <c r="A123" s="17" t="n"/>
      <c r="B123" s="6" t="n"/>
      <c r="C123" s="18">
        <f>IF(B123="","",Rules!$B$3+SUM($B$5:B123))</f>
        <v/>
      </c>
      <c r="D123" s="18">
        <f>IF(B123="","",MAX(Rules!$B$3,MAX($C$5:C123)))</f>
        <v/>
      </c>
      <c r="E123" s="18">
        <f>IF(B123="","",IF(Rules!$B$7="Static",Rules!$B$3-Rules!$B$6,IF(Rules!$B$8="Yes",MIN(Rules!$B$3,D123-Rules!$B$6),D123-Rules!$B$6)))</f>
        <v/>
      </c>
      <c r="F123" s="18">
        <f>IF(B123="","",C123-E123)</f>
        <v/>
      </c>
      <c r="G123" s="19">
        <f>IF(B123="","",IF(OR(Rules!$B$5=0,B123&gt;=0),0,-B123/Rules!$B$5))</f>
        <v/>
      </c>
      <c r="H123" s="18">
        <f>IF(B123="","",C123-Rules!$B$3)</f>
        <v/>
      </c>
      <c r="I123" s="8" t="n"/>
      <c r="J123" s="20">
        <f>IF(B123="","",IF(C123&lt;=E123,"BREACH: floor",IF(G123&gt;=1,"BREACH: daily limit",IF(F123&lt;Rules!$B$6*0.25,"Caution","OK"))))</f>
        <v/>
      </c>
    </row>
    <row r="124">
      <c r="A124" s="17" t="n"/>
      <c r="B124" s="6" t="n"/>
      <c r="C124" s="18">
        <f>IF(B124="","",Rules!$B$3+SUM($B$5:B124))</f>
        <v/>
      </c>
      <c r="D124" s="18">
        <f>IF(B124="","",MAX(Rules!$B$3,MAX($C$5:C124)))</f>
        <v/>
      </c>
      <c r="E124" s="18">
        <f>IF(B124="","",IF(Rules!$B$7="Static",Rules!$B$3-Rules!$B$6,IF(Rules!$B$8="Yes",MIN(Rules!$B$3,D124-Rules!$B$6),D124-Rules!$B$6)))</f>
        <v/>
      </c>
      <c r="F124" s="18">
        <f>IF(B124="","",C124-E124)</f>
        <v/>
      </c>
      <c r="G124" s="19">
        <f>IF(B124="","",IF(OR(Rules!$B$5=0,B124&gt;=0),0,-B124/Rules!$B$5))</f>
        <v/>
      </c>
      <c r="H124" s="18">
        <f>IF(B124="","",C124-Rules!$B$3)</f>
        <v/>
      </c>
      <c r="I124" s="8" t="n"/>
      <c r="J124" s="20">
        <f>IF(B124="","",IF(C124&lt;=E124,"BREACH: floor",IF(G124&gt;=1,"BREACH: daily limit",IF(F124&lt;Rules!$B$6*0.25,"Caution","OK"))))</f>
        <v/>
      </c>
    </row>
    <row r="125">
      <c r="A125" s="17" t="n"/>
      <c r="B125" s="6" t="n"/>
      <c r="C125" s="18">
        <f>IF(B125="","",Rules!$B$3+SUM($B$5:B125))</f>
        <v/>
      </c>
      <c r="D125" s="18">
        <f>IF(B125="","",MAX(Rules!$B$3,MAX($C$5:C125)))</f>
        <v/>
      </c>
      <c r="E125" s="18">
        <f>IF(B125="","",IF(Rules!$B$7="Static",Rules!$B$3-Rules!$B$6,IF(Rules!$B$8="Yes",MIN(Rules!$B$3,D125-Rules!$B$6),D125-Rules!$B$6)))</f>
        <v/>
      </c>
      <c r="F125" s="18">
        <f>IF(B125="","",C125-E125)</f>
        <v/>
      </c>
      <c r="G125" s="19">
        <f>IF(B125="","",IF(OR(Rules!$B$5=0,B125&gt;=0),0,-B125/Rules!$B$5))</f>
        <v/>
      </c>
      <c r="H125" s="18">
        <f>IF(B125="","",C125-Rules!$B$3)</f>
        <v/>
      </c>
      <c r="I125" s="8" t="n"/>
      <c r="J125" s="20">
        <f>IF(B125="","",IF(C125&lt;=E125,"BREACH: floor",IF(G125&gt;=1,"BREACH: daily limit",IF(F125&lt;Rules!$B$6*0.25,"Caution","OK"))))</f>
        <v/>
      </c>
    </row>
    <row r="126">
      <c r="A126" s="17" t="n"/>
      <c r="B126" s="6" t="n"/>
      <c r="C126" s="18">
        <f>IF(B126="","",Rules!$B$3+SUM($B$5:B126))</f>
        <v/>
      </c>
      <c r="D126" s="18">
        <f>IF(B126="","",MAX(Rules!$B$3,MAX($C$5:C126)))</f>
        <v/>
      </c>
      <c r="E126" s="18">
        <f>IF(B126="","",IF(Rules!$B$7="Static",Rules!$B$3-Rules!$B$6,IF(Rules!$B$8="Yes",MIN(Rules!$B$3,D126-Rules!$B$6),D126-Rules!$B$6)))</f>
        <v/>
      </c>
      <c r="F126" s="18">
        <f>IF(B126="","",C126-E126)</f>
        <v/>
      </c>
      <c r="G126" s="19">
        <f>IF(B126="","",IF(OR(Rules!$B$5=0,B126&gt;=0),0,-B126/Rules!$B$5))</f>
        <v/>
      </c>
      <c r="H126" s="18">
        <f>IF(B126="","",C126-Rules!$B$3)</f>
        <v/>
      </c>
      <c r="I126" s="8" t="n"/>
      <c r="J126" s="20">
        <f>IF(B126="","",IF(C126&lt;=E126,"BREACH: floor",IF(G126&gt;=1,"BREACH: daily limit",IF(F126&lt;Rules!$B$6*0.25,"Caution","OK"))))</f>
        <v/>
      </c>
    </row>
    <row r="127">
      <c r="A127" s="17" t="n"/>
      <c r="B127" s="6" t="n"/>
      <c r="C127" s="18">
        <f>IF(B127="","",Rules!$B$3+SUM($B$5:B127))</f>
        <v/>
      </c>
      <c r="D127" s="18">
        <f>IF(B127="","",MAX(Rules!$B$3,MAX($C$5:C127)))</f>
        <v/>
      </c>
      <c r="E127" s="18">
        <f>IF(B127="","",IF(Rules!$B$7="Static",Rules!$B$3-Rules!$B$6,IF(Rules!$B$8="Yes",MIN(Rules!$B$3,D127-Rules!$B$6),D127-Rules!$B$6)))</f>
        <v/>
      </c>
      <c r="F127" s="18">
        <f>IF(B127="","",C127-E127)</f>
        <v/>
      </c>
      <c r="G127" s="19">
        <f>IF(B127="","",IF(OR(Rules!$B$5=0,B127&gt;=0),0,-B127/Rules!$B$5))</f>
        <v/>
      </c>
      <c r="H127" s="18">
        <f>IF(B127="","",C127-Rules!$B$3)</f>
        <v/>
      </c>
      <c r="I127" s="8" t="n"/>
      <c r="J127" s="20">
        <f>IF(B127="","",IF(C127&lt;=E127,"BREACH: floor",IF(G127&gt;=1,"BREACH: daily limit",IF(F127&lt;Rules!$B$6*0.25,"Caution","OK"))))</f>
        <v/>
      </c>
    </row>
    <row r="128">
      <c r="A128" s="17" t="n"/>
      <c r="B128" s="6" t="n"/>
      <c r="C128" s="18">
        <f>IF(B128="","",Rules!$B$3+SUM($B$5:B128))</f>
        <v/>
      </c>
      <c r="D128" s="18">
        <f>IF(B128="","",MAX(Rules!$B$3,MAX($C$5:C128)))</f>
        <v/>
      </c>
      <c r="E128" s="18">
        <f>IF(B128="","",IF(Rules!$B$7="Static",Rules!$B$3-Rules!$B$6,IF(Rules!$B$8="Yes",MIN(Rules!$B$3,D128-Rules!$B$6),D128-Rules!$B$6)))</f>
        <v/>
      </c>
      <c r="F128" s="18">
        <f>IF(B128="","",C128-E128)</f>
        <v/>
      </c>
      <c r="G128" s="19">
        <f>IF(B128="","",IF(OR(Rules!$B$5=0,B128&gt;=0),0,-B128/Rules!$B$5))</f>
        <v/>
      </c>
      <c r="H128" s="18">
        <f>IF(B128="","",C128-Rules!$B$3)</f>
        <v/>
      </c>
      <c r="I128" s="8" t="n"/>
      <c r="J128" s="20">
        <f>IF(B128="","",IF(C128&lt;=E128,"BREACH: floor",IF(G128&gt;=1,"BREACH: daily limit",IF(F128&lt;Rules!$B$6*0.25,"Caution","OK"))))</f>
        <v/>
      </c>
    </row>
    <row r="129">
      <c r="A129" s="17" t="n"/>
      <c r="B129" s="6" t="n"/>
      <c r="C129" s="18">
        <f>IF(B129="","",Rules!$B$3+SUM($B$5:B129))</f>
        <v/>
      </c>
      <c r="D129" s="18">
        <f>IF(B129="","",MAX(Rules!$B$3,MAX($C$5:C129)))</f>
        <v/>
      </c>
      <c r="E129" s="18">
        <f>IF(B129="","",IF(Rules!$B$7="Static",Rules!$B$3-Rules!$B$6,IF(Rules!$B$8="Yes",MIN(Rules!$B$3,D129-Rules!$B$6),D129-Rules!$B$6)))</f>
        <v/>
      </c>
      <c r="F129" s="18">
        <f>IF(B129="","",C129-E129)</f>
        <v/>
      </c>
      <c r="G129" s="19">
        <f>IF(B129="","",IF(OR(Rules!$B$5=0,B129&gt;=0),0,-B129/Rules!$B$5))</f>
        <v/>
      </c>
      <c r="H129" s="18">
        <f>IF(B129="","",C129-Rules!$B$3)</f>
        <v/>
      </c>
      <c r="I129" s="8" t="n"/>
      <c r="J129" s="20">
        <f>IF(B129="","",IF(C129&lt;=E129,"BREACH: floor",IF(G129&gt;=1,"BREACH: daily limit",IF(F129&lt;Rules!$B$6*0.25,"Caution","OK"))))</f>
        <v/>
      </c>
    </row>
    <row r="130">
      <c r="A130" s="17" t="n"/>
      <c r="B130" s="6" t="n"/>
      <c r="C130" s="18">
        <f>IF(B130="","",Rules!$B$3+SUM($B$5:B130))</f>
        <v/>
      </c>
      <c r="D130" s="18">
        <f>IF(B130="","",MAX(Rules!$B$3,MAX($C$5:C130)))</f>
        <v/>
      </c>
      <c r="E130" s="18">
        <f>IF(B130="","",IF(Rules!$B$7="Static",Rules!$B$3-Rules!$B$6,IF(Rules!$B$8="Yes",MIN(Rules!$B$3,D130-Rules!$B$6),D130-Rules!$B$6)))</f>
        <v/>
      </c>
      <c r="F130" s="18">
        <f>IF(B130="","",C130-E130)</f>
        <v/>
      </c>
      <c r="G130" s="19">
        <f>IF(B130="","",IF(OR(Rules!$B$5=0,B130&gt;=0),0,-B130/Rules!$B$5))</f>
        <v/>
      </c>
      <c r="H130" s="18">
        <f>IF(B130="","",C130-Rules!$B$3)</f>
        <v/>
      </c>
      <c r="I130" s="8" t="n"/>
      <c r="J130" s="20">
        <f>IF(B130="","",IF(C130&lt;=E130,"BREACH: floor",IF(G130&gt;=1,"BREACH: daily limit",IF(F130&lt;Rules!$B$6*0.25,"Caution","OK"))))</f>
        <v/>
      </c>
    </row>
    <row r="131">
      <c r="A131" s="17" t="n"/>
      <c r="B131" s="6" t="n"/>
      <c r="C131" s="18">
        <f>IF(B131="","",Rules!$B$3+SUM($B$5:B131))</f>
        <v/>
      </c>
      <c r="D131" s="18">
        <f>IF(B131="","",MAX(Rules!$B$3,MAX($C$5:C131)))</f>
        <v/>
      </c>
      <c r="E131" s="18">
        <f>IF(B131="","",IF(Rules!$B$7="Static",Rules!$B$3-Rules!$B$6,IF(Rules!$B$8="Yes",MIN(Rules!$B$3,D131-Rules!$B$6),D131-Rules!$B$6)))</f>
        <v/>
      </c>
      <c r="F131" s="18">
        <f>IF(B131="","",C131-E131)</f>
        <v/>
      </c>
      <c r="G131" s="19">
        <f>IF(B131="","",IF(OR(Rules!$B$5=0,B131&gt;=0),0,-B131/Rules!$B$5))</f>
        <v/>
      </c>
      <c r="H131" s="18">
        <f>IF(B131="","",C131-Rules!$B$3)</f>
        <v/>
      </c>
      <c r="I131" s="8" t="n"/>
      <c r="J131" s="20">
        <f>IF(B131="","",IF(C131&lt;=E131,"BREACH: floor",IF(G131&gt;=1,"BREACH: daily limit",IF(F131&lt;Rules!$B$6*0.25,"Caution","OK"))))</f>
        <v/>
      </c>
    </row>
    <row r="132">
      <c r="A132" s="17" t="n"/>
      <c r="B132" s="6" t="n"/>
      <c r="C132" s="18">
        <f>IF(B132="","",Rules!$B$3+SUM($B$5:B132))</f>
        <v/>
      </c>
      <c r="D132" s="18">
        <f>IF(B132="","",MAX(Rules!$B$3,MAX($C$5:C132)))</f>
        <v/>
      </c>
      <c r="E132" s="18">
        <f>IF(B132="","",IF(Rules!$B$7="Static",Rules!$B$3-Rules!$B$6,IF(Rules!$B$8="Yes",MIN(Rules!$B$3,D132-Rules!$B$6),D132-Rules!$B$6)))</f>
        <v/>
      </c>
      <c r="F132" s="18">
        <f>IF(B132="","",C132-E132)</f>
        <v/>
      </c>
      <c r="G132" s="19">
        <f>IF(B132="","",IF(OR(Rules!$B$5=0,B132&gt;=0),0,-B132/Rules!$B$5))</f>
        <v/>
      </c>
      <c r="H132" s="18">
        <f>IF(B132="","",C132-Rules!$B$3)</f>
        <v/>
      </c>
      <c r="I132" s="8" t="n"/>
      <c r="J132" s="20">
        <f>IF(B132="","",IF(C132&lt;=E132,"BREACH: floor",IF(G132&gt;=1,"BREACH: daily limit",IF(F132&lt;Rules!$B$6*0.25,"Caution","OK"))))</f>
        <v/>
      </c>
    </row>
    <row r="133">
      <c r="A133" s="17" t="n"/>
      <c r="B133" s="6" t="n"/>
      <c r="C133" s="18">
        <f>IF(B133="","",Rules!$B$3+SUM($B$5:B133))</f>
        <v/>
      </c>
      <c r="D133" s="18">
        <f>IF(B133="","",MAX(Rules!$B$3,MAX($C$5:C133)))</f>
        <v/>
      </c>
      <c r="E133" s="18">
        <f>IF(B133="","",IF(Rules!$B$7="Static",Rules!$B$3-Rules!$B$6,IF(Rules!$B$8="Yes",MIN(Rules!$B$3,D133-Rules!$B$6),D133-Rules!$B$6)))</f>
        <v/>
      </c>
      <c r="F133" s="18">
        <f>IF(B133="","",C133-E133)</f>
        <v/>
      </c>
      <c r="G133" s="19">
        <f>IF(B133="","",IF(OR(Rules!$B$5=0,B133&gt;=0),0,-B133/Rules!$B$5))</f>
        <v/>
      </c>
      <c r="H133" s="18">
        <f>IF(B133="","",C133-Rules!$B$3)</f>
        <v/>
      </c>
      <c r="I133" s="8" t="n"/>
      <c r="J133" s="20">
        <f>IF(B133="","",IF(C133&lt;=E133,"BREACH: floor",IF(G133&gt;=1,"BREACH: daily limit",IF(F133&lt;Rules!$B$6*0.25,"Caution","OK"))))</f>
        <v/>
      </c>
    </row>
    <row r="134">
      <c r="A134" s="17" t="n"/>
      <c r="B134" s="6" t="n"/>
      <c r="C134" s="18">
        <f>IF(B134="","",Rules!$B$3+SUM($B$5:B134))</f>
        <v/>
      </c>
      <c r="D134" s="18">
        <f>IF(B134="","",MAX(Rules!$B$3,MAX($C$5:C134)))</f>
        <v/>
      </c>
      <c r="E134" s="18">
        <f>IF(B134="","",IF(Rules!$B$7="Static",Rules!$B$3-Rules!$B$6,IF(Rules!$B$8="Yes",MIN(Rules!$B$3,D134-Rules!$B$6),D134-Rules!$B$6)))</f>
        <v/>
      </c>
      <c r="F134" s="18">
        <f>IF(B134="","",C134-E134)</f>
        <v/>
      </c>
      <c r="G134" s="19">
        <f>IF(B134="","",IF(OR(Rules!$B$5=0,B134&gt;=0),0,-B134/Rules!$B$5))</f>
        <v/>
      </c>
      <c r="H134" s="18">
        <f>IF(B134="","",C134-Rules!$B$3)</f>
        <v/>
      </c>
      <c r="I134" s="8" t="n"/>
      <c r="J134" s="20">
        <f>IF(B134="","",IF(C134&lt;=E134,"BREACH: floor",IF(G134&gt;=1,"BREACH: daily limit",IF(F134&lt;Rules!$B$6*0.25,"Caution","OK"))))</f>
        <v/>
      </c>
    </row>
    <row r="135">
      <c r="A135" s="17" t="n"/>
      <c r="B135" s="6" t="n"/>
      <c r="C135" s="18">
        <f>IF(B135="","",Rules!$B$3+SUM($B$5:B135))</f>
        <v/>
      </c>
      <c r="D135" s="18">
        <f>IF(B135="","",MAX(Rules!$B$3,MAX($C$5:C135)))</f>
        <v/>
      </c>
      <c r="E135" s="18">
        <f>IF(B135="","",IF(Rules!$B$7="Static",Rules!$B$3-Rules!$B$6,IF(Rules!$B$8="Yes",MIN(Rules!$B$3,D135-Rules!$B$6),D135-Rules!$B$6)))</f>
        <v/>
      </c>
      <c r="F135" s="18">
        <f>IF(B135="","",C135-E135)</f>
        <v/>
      </c>
      <c r="G135" s="19">
        <f>IF(B135="","",IF(OR(Rules!$B$5=0,B135&gt;=0),0,-B135/Rules!$B$5))</f>
        <v/>
      </c>
      <c r="H135" s="18">
        <f>IF(B135="","",C135-Rules!$B$3)</f>
        <v/>
      </c>
      <c r="I135" s="8" t="n"/>
      <c r="J135" s="20">
        <f>IF(B135="","",IF(C135&lt;=E135,"BREACH: floor",IF(G135&gt;=1,"BREACH: daily limit",IF(F135&lt;Rules!$B$6*0.25,"Caution","OK"))))</f>
        <v/>
      </c>
    </row>
    <row r="136">
      <c r="A136" s="17" t="n"/>
      <c r="B136" s="6" t="n"/>
      <c r="C136" s="18">
        <f>IF(B136="","",Rules!$B$3+SUM($B$5:B136))</f>
        <v/>
      </c>
      <c r="D136" s="18">
        <f>IF(B136="","",MAX(Rules!$B$3,MAX($C$5:C136)))</f>
        <v/>
      </c>
      <c r="E136" s="18">
        <f>IF(B136="","",IF(Rules!$B$7="Static",Rules!$B$3-Rules!$B$6,IF(Rules!$B$8="Yes",MIN(Rules!$B$3,D136-Rules!$B$6),D136-Rules!$B$6)))</f>
        <v/>
      </c>
      <c r="F136" s="18">
        <f>IF(B136="","",C136-E136)</f>
        <v/>
      </c>
      <c r="G136" s="19">
        <f>IF(B136="","",IF(OR(Rules!$B$5=0,B136&gt;=0),0,-B136/Rules!$B$5))</f>
        <v/>
      </c>
      <c r="H136" s="18">
        <f>IF(B136="","",C136-Rules!$B$3)</f>
        <v/>
      </c>
      <c r="I136" s="8" t="n"/>
      <c r="J136" s="20">
        <f>IF(B136="","",IF(C136&lt;=E136,"BREACH: floor",IF(G136&gt;=1,"BREACH: daily limit",IF(F136&lt;Rules!$B$6*0.25,"Caution","OK"))))</f>
        <v/>
      </c>
    </row>
    <row r="137">
      <c r="A137" s="17" t="n"/>
      <c r="B137" s="6" t="n"/>
      <c r="C137" s="18">
        <f>IF(B137="","",Rules!$B$3+SUM($B$5:B137))</f>
        <v/>
      </c>
      <c r="D137" s="18">
        <f>IF(B137="","",MAX(Rules!$B$3,MAX($C$5:C137)))</f>
        <v/>
      </c>
      <c r="E137" s="18">
        <f>IF(B137="","",IF(Rules!$B$7="Static",Rules!$B$3-Rules!$B$6,IF(Rules!$B$8="Yes",MIN(Rules!$B$3,D137-Rules!$B$6),D137-Rules!$B$6)))</f>
        <v/>
      </c>
      <c r="F137" s="18">
        <f>IF(B137="","",C137-E137)</f>
        <v/>
      </c>
      <c r="G137" s="19">
        <f>IF(B137="","",IF(OR(Rules!$B$5=0,B137&gt;=0),0,-B137/Rules!$B$5))</f>
        <v/>
      </c>
      <c r="H137" s="18">
        <f>IF(B137="","",C137-Rules!$B$3)</f>
        <v/>
      </c>
      <c r="I137" s="8" t="n"/>
      <c r="J137" s="20">
        <f>IF(B137="","",IF(C137&lt;=E137,"BREACH: floor",IF(G137&gt;=1,"BREACH: daily limit",IF(F137&lt;Rules!$B$6*0.25,"Caution","OK"))))</f>
        <v/>
      </c>
    </row>
    <row r="138">
      <c r="A138" s="17" t="n"/>
      <c r="B138" s="6" t="n"/>
      <c r="C138" s="18">
        <f>IF(B138="","",Rules!$B$3+SUM($B$5:B138))</f>
        <v/>
      </c>
      <c r="D138" s="18">
        <f>IF(B138="","",MAX(Rules!$B$3,MAX($C$5:C138)))</f>
        <v/>
      </c>
      <c r="E138" s="18">
        <f>IF(B138="","",IF(Rules!$B$7="Static",Rules!$B$3-Rules!$B$6,IF(Rules!$B$8="Yes",MIN(Rules!$B$3,D138-Rules!$B$6),D138-Rules!$B$6)))</f>
        <v/>
      </c>
      <c r="F138" s="18">
        <f>IF(B138="","",C138-E138)</f>
        <v/>
      </c>
      <c r="G138" s="19">
        <f>IF(B138="","",IF(OR(Rules!$B$5=0,B138&gt;=0),0,-B138/Rules!$B$5))</f>
        <v/>
      </c>
      <c r="H138" s="18">
        <f>IF(B138="","",C138-Rules!$B$3)</f>
        <v/>
      </c>
      <c r="I138" s="8" t="n"/>
      <c r="J138" s="20">
        <f>IF(B138="","",IF(C138&lt;=E138,"BREACH: floor",IF(G138&gt;=1,"BREACH: daily limit",IF(F138&lt;Rules!$B$6*0.25,"Caution","OK"))))</f>
        <v/>
      </c>
    </row>
    <row r="139">
      <c r="A139" s="17" t="n"/>
      <c r="B139" s="6" t="n"/>
      <c r="C139" s="18">
        <f>IF(B139="","",Rules!$B$3+SUM($B$5:B139))</f>
        <v/>
      </c>
      <c r="D139" s="18">
        <f>IF(B139="","",MAX(Rules!$B$3,MAX($C$5:C139)))</f>
        <v/>
      </c>
      <c r="E139" s="18">
        <f>IF(B139="","",IF(Rules!$B$7="Static",Rules!$B$3-Rules!$B$6,IF(Rules!$B$8="Yes",MIN(Rules!$B$3,D139-Rules!$B$6),D139-Rules!$B$6)))</f>
        <v/>
      </c>
      <c r="F139" s="18">
        <f>IF(B139="","",C139-E139)</f>
        <v/>
      </c>
      <c r="G139" s="19">
        <f>IF(B139="","",IF(OR(Rules!$B$5=0,B139&gt;=0),0,-B139/Rules!$B$5))</f>
        <v/>
      </c>
      <c r="H139" s="18">
        <f>IF(B139="","",C139-Rules!$B$3)</f>
        <v/>
      </c>
      <c r="I139" s="8" t="n"/>
      <c r="J139" s="20">
        <f>IF(B139="","",IF(C139&lt;=E139,"BREACH: floor",IF(G139&gt;=1,"BREACH: daily limit",IF(F139&lt;Rules!$B$6*0.25,"Caution","OK"))))</f>
        <v/>
      </c>
    </row>
    <row r="140">
      <c r="A140" s="17" t="n"/>
      <c r="B140" s="6" t="n"/>
      <c r="C140" s="18">
        <f>IF(B140="","",Rules!$B$3+SUM($B$5:B140))</f>
        <v/>
      </c>
      <c r="D140" s="18">
        <f>IF(B140="","",MAX(Rules!$B$3,MAX($C$5:C140)))</f>
        <v/>
      </c>
      <c r="E140" s="18">
        <f>IF(B140="","",IF(Rules!$B$7="Static",Rules!$B$3-Rules!$B$6,IF(Rules!$B$8="Yes",MIN(Rules!$B$3,D140-Rules!$B$6),D140-Rules!$B$6)))</f>
        <v/>
      </c>
      <c r="F140" s="18">
        <f>IF(B140="","",C140-E140)</f>
        <v/>
      </c>
      <c r="G140" s="19">
        <f>IF(B140="","",IF(OR(Rules!$B$5=0,B140&gt;=0),0,-B140/Rules!$B$5))</f>
        <v/>
      </c>
      <c r="H140" s="18">
        <f>IF(B140="","",C140-Rules!$B$3)</f>
        <v/>
      </c>
      <c r="I140" s="8" t="n"/>
      <c r="J140" s="20">
        <f>IF(B140="","",IF(C140&lt;=E140,"BREACH: floor",IF(G140&gt;=1,"BREACH: daily limit",IF(F140&lt;Rules!$B$6*0.25,"Caution","OK"))))</f>
        <v/>
      </c>
    </row>
    <row r="141">
      <c r="A141" s="17" t="n"/>
      <c r="B141" s="6" t="n"/>
      <c r="C141" s="18">
        <f>IF(B141="","",Rules!$B$3+SUM($B$5:B141))</f>
        <v/>
      </c>
      <c r="D141" s="18">
        <f>IF(B141="","",MAX(Rules!$B$3,MAX($C$5:C141)))</f>
        <v/>
      </c>
      <c r="E141" s="18">
        <f>IF(B141="","",IF(Rules!$B$7="Static",Rules!$B$3-Rules!$B$6,IF(Rules!$B$8="Yes",MIN(Rules!$B$3,D141-Rules!$B$6),D141-Rules!$B$6)))</f>
        <v/>
      </c>
      <c r="F141" s="18">
        <f>IF(B141="","",C141-E141)</f>
        <v/>
      </c>
      <c r="G141" s="19">
        <f>IF(B141="","",IF(OR(Rules!$B$5=0,B141&gt;=0),0,-B141/Rules!$B$5))</f>
        <v/>
      </c>
      <c r="H141" s="18">
        <f>IF(B141="","",C141-Rules!$B$3)</f>
        <v/>
      </c>
      <c r="I141" s="8" t="n"/>
      <c r="J141" s="20">
        <f>IF(B141="","",IF(C141&lt;=E141,"BREACH: floor",IF(G141&gt;=1,"BREACH: daily limit",IF(F141&lt;Rules!$B$6*0.25,"Caution","OK"))))</f>
        <v/>
      </c>
    </row>
    <row r="142">
      <c r="A142" s="17" t="n"/>
      <c r="B142" s="6" t="n"/>
      <c r="C142" s="18">
        <f>IF(B142="","",Rules!$B$3+SUM($B$5:B142))</f>
        <v/>
      </c>
      <c r="D142" s="18">
        <f>IF(B142="","",MAX(Rules!$B$3,MAX($C$5:C142)))</f>
        <v/>
      </c>
      <c r="E142" s="18">
        <f>IF(B142="","",IF(Rules!$B$7="Static",Rules!$B$3-Rules!$B$6,IF(Rules!$B$8="Yes",MIN(Rules!$B$3,D142-Rules!$B$6),D142-Rules!$B$6)))</f>
        <v/>
      </c>
      <c r="F142" s="18">
        <f>IF(B142="","",C142-E142)</f>
        <v/>
      </c>
      <c r="G142" s="19">
        <f>IF(B142="","",IF(OR(Rules!$B$5=0,B142&gt;=0),0,-B142/Rules!$B$5))</f>
        <v/>
      </c>
      <c r="H142" s="18">
        <f>IF(B142="","",C142-Rules!$B$3)</f>
        <v/>
      </c>
      <c r="I142" s="8" t="n"/>
      <c r="J142" s="20">
        <f>IF(B142="","",IF(C142&lt;=E142,"BREACH: floor",IF(G142&gt;=1,"BREACH: daily limit",IF(F142&lt;Rules!$B$6*0.25,"Caution","OK"))))</f>
        <v/>
      </c>
    </row>
    <row r="143">
      <c r="A143" s="17" t="n"/>
      <c r="B143" s="6" t="n"/>
      <c r="C143" s="18">
        <f>IF(B143="","",Rules!$B$3+SUM($B$5:B143))</f>
        <v/>
      </c>
      <c r="D143" s="18">
        <f>IF(B143="","",MAX(Rules!$B$3,MAX($C$5:C143)))</f>
        <v/>
      </c>
      <c r="E143" s="18">
        <f>IF(B143="","",IF(Rules!$B$7="Static",Rules!$B$3-Rules!$B$6,IF(Rules!$B$8="Yes",MIN(Rules!$B$3,D143-Rules!$B$6),D143-Rules!$B$6)))</f>
        <v/>
      </c>
      <c r="F143" s="18">
        <f>IF(B143="","",C143-E143)</f>
        <v/>
      </c>
      <c r="G143" s="19">
        <f>IF(B143="","",IF(OR(Rules!$B$5=0,B143&gt;=0),0,-B143/Rules!$B$5))</f>
        <v/>
      </c>
      <c r="H143" s="18">
        <f>IF(B143="","",C143-Rules!$B$3)</f>
        <v/>
      </c>
      <c r="I143" s="8" t="n"/>
      <c r="J143" s="20">
        <f>IF(B143="","",IF(C143&lt;=E143,"BREACH: floor",IF(G143&gt;=1,"BREACH: daily limit",IF(F143&lt;Rules!$B$6*0.25,"Caution","OK"))))</f>
        <v/>
      </c>
    </row>
    <row r="144">
      <c r="A144" s="17" t="n"/>
      <c r="B144" s="6" t="n"/>
      <c r="C144" s="18">
        <f>IF(B144="","",Rules!$B$3+SUM($B$5:B144))</f>
        <v/>
      </c>
      <c r="D144" s="18">
        <f>IF(B144="","",MAX(Rules!$B$3,MAX($C$5:C144)))</f>
        <v/>
      </c>
      <c r="E144" s="18">
        <f>IF(B144="","",IF(Rules!$B$7="Static",Rules!$B$3-Rules!$B$6,IF(Rules!$B$8="Yes",MIN(Rules!$B$3,D144-Rules!$B$6),D144-Rules!$B$6)))</f>
        <v/>
      </c>
      <c r="F144" s="18">
        <f>IF(B144="","",C144-E144)</f>
        <v/>
      </c>
      <c r="G144" s="19">
        <f>IF(B144="","",IF(OR(Rules!$B$5=0,B144&gt;=0),0,-B144/Rules!$B$5))</f>
        <v/>
      </c>
      <c r="H144" s="18">
        <f>IF(B144="","",C144-Rules!$B$3)</f>
        <v/>
      </c>
      <c r="I144" s="8" t="n"/>
      <c r="J144" s="20">
        <f>IF(B144="","",IF(C144&lt;=E144,"BREACH: floor",IF(G144&gt;=1,"BREACH: daily limit",IF(F144&lt;Rules!$B$6*0.25,"Caution","OK"))))</f>
        <v/>
      </c>
    </row>
    <row r="145">
      <c r="A145" s="17" t="n"/>
      <c r="B145" s="6" t="n"/>
      <c r="C145" s="18">
        <f>IF(B145="","",Rules!$B$3+SUM($B$5:B145))</f>
        <v/>
      </c>
      <c r="D145" s="18">
        <f>IF(B145="","",MAX(Rules!$B$3,MAX($C$5:C145)))</f>
        <v/>
      </c>
      <c r="E145" s="18">
        <f>IF(B145="","",IF(Rules!$B$7="Static",Rules!$B$3-Rules!$B$6,IF(Rules!$B$8="Yes",MIN(Rules!$B$3,D145-Rules!$B$6),D145-Rules!$B$6)))</f>
        <v/>
      </c>
      <c r="F145" s="18">
        <f>IF(B145="","",C145-E145)</f>
        <v/>
      </c>
      <c r="G145" s="19">
        <f>IF(B145="","",IF(OR(Rules!$B$5=0,B145&gt;=0),0,-B145/Rules!$B$5))</f>
        <v/>
      </c>
      <c r="H145" s="18">
        <f>IF(B145="","",C145-Rules!$B$3)</f>
        <v/>
      </c>
      <c r="I145" s="8" t="n"/>
      <c r="J145" s="20">
        <f>IF(B145="","",IF(C145&lt;=E145,"BREACH: floor",IF(G145&gt;=1,"BREACH: daily limit",IF(F145&lt;Rules!$B$6*0.25,"Caution","OK"))))</f>
        <v/>
      </c>
    </row>
    <row r="146">
      <c r="A146" s="17" t="n"/>
      <c r="B146" s="6" t="n"/>
      <c r="C146" s="18">
        <f>IF(B146="","",Rules!$B$3+SUM($B$5:B146))</f>
        <v/>
      </c>
      <c r="D146" s="18">
        <f>IF(B146="","",MAX(Rules!$B$3,MAX($C$5:C146)))</f>
        <v/>
      </c>
      <c r="E146" s="18">
        <f>IF(B146="","",IF(Rules!$B$7="Static",Rules!$B$3-Rules!$B$6,IF(Rules!$B$8="Yes",MIN(Rules!$B$3,D146-Rules!$B$6),D146-Rules!$B$6)))</f>
        <v/>
      </c>
      <c r="F146" s="18">
        <f>IF(B146="","",C146-E146)</f>
        <v/>
      </c>
      <c r="G146" s="19">
        <f>IF(B146="","",IF(OR(Rules!$B$5=0,B146&gt;=0),0,-B146/Rules!$B$5))</f>
        <v/>
      </c>
      <c r="H146" s="18">
        <f>IF(B146="","",C146-Rules!$B$3)</f>
        <v/>
      </c>
      <c r="I146" s="8" t="n"/>
      <c r="J146" s="20">
        <f>IF(B146="","",IF(C146&lt;=E146,"BREACH: floor",IF(G146&gt;=1,"BREACH: daily limit",IF(F146&lt;Rules!$B$6*0.25,"Caution","OK"))))</f>
        <v/>
      </c>
    </row>
    <row r="147">
      <c r="A147" s="17" t="n"/>
      <c r="B147" s="6" t="n"/>
      <c r="C147" s="18">
        <f>IF(B147="","",Rules!$B$3+SUM($B$5:B147))</f>
        <v/>
      </c>
      <c r="D147" s="18">
        <f>IF(B147="","",MAX(Rules!$B$3,MAX($C$5:C147)))</f>
        <v/>
      </c>
      <c r="E147" s="18">
        <f>IF(B147="","",IF(Rules!$B$7="Static",Rules!$B$3-Rules!$B$6,IF(Rules!$B$8="Yes",MIN(Rules!$B$3,D147-Rules!$B$6),D147-Rules!$B$6)))</f>
        <v/>
      </c>
      <c r="F147" s="18">
        <f>IF(B147="","",C147-E147)</f>
        <v/>
      </c>
      <c r="G147" s="19">
        <f>IF(B147="","",IF(OR(Rules!$B$5=0,B147&gt;=0),0,-B147/Rules!$B$5))</f>
        <v/>
      </c>
      <c r="H147" s="18">
        <f>IF(B147="","",C147-Rules!$B$3)</f>
        <v/>
      </c>
      <c r="I147" s="8" t="n"/>
      <c r="J147" s="20">
        <f>IF(B147="","",IF(C147&lt;=E147,"BREACH: floor",IF(G147&gt;=1,"BREACH: daily limit",IF(F147&lt;Rules!$B$6*0.25,"Caution","OK"))))</f>
        <v/>
      </c>
    </row>
    <row r="148">
      <c r="A148" s="17" t="n"/>
      <c r="B148" s="6" t="n"/>
      <c r="C148" s="18">
        <f>IF(B148="","",Rules!$B$3+SUM($B$5:B148))</f>
        <v/>
      </c>
      <c r="D148" s="18">
        <f>IF(B148="","",MAX(Rules!$B$3,MAX($C$5:C148)))</f>
        <v/>
      </c>
      <c r="E148" s="18">
        <f>IF(B148="","",IF(Rules!$B$7="Static",Rules!$B$3-Rules!$B$6,IF(Rules!$B$8="Yes",MIN(Rules!$B$3,D148-Rules!$B$6),D148-Rules!$B$6)))</f>
        <v/>
      </c>
      <c r="F148" s="18">
        <f>IF(B148="","",C148-E148)</f>
        <v/>
      </c>
      <c r="G148" s="19">
        <f>IF(B148="","",IF(OR(Rules!$B$5=0,B148&gt;=0),0,-B148/Rules!$B$5))</f>
        <v/>
      </c>
      <c r="H148" s="18">
        <f>IF(B148="","",C148-Rules!$B$3)</f>
        <v/>
      </c>
      <c r="I148" s="8" t="n"/>
      <c r="J148" s="20">
        <f>IF(B148="","",IF(C148&lt;=E148,"BREACH: floor",IF(G148&gt;=1,"BREACH: daily limit",IF(F148&lt;Rules!$B$6*0.25,"Caution","OK"))))</f>
        <v/>
      </c>
    </row>
    <row r="149">
      <c r="A149" s="17" t="n"/>
      <c r="B149" s="6" t="n"/>
      <c r="C149" s="18">
        <f>IF(B149="","",Rules!$B$3+SUM($B$5:B149))</f>
        <v/>
      </c>
      <c r="D149" s="18">
        <f>IF(B149="","",MAX(Rules!$B$3,MAX($C$5:C149)))</f>
        <v/>
      </c>
      <c r="E149" s="18">
        <f>IF(B149="","",IF(Rules!$B$7="Static",Rules!$B$3-Rules!$B$6,IF(Rules!$B$8="Yes",MIN(Rules!$B$3,D149-Rules!$B$6),D149-Rules!$B$6)))</f>
        <v/>
      </c>
      <c r="F149" s="18">
        <f>IF(B149="","",C149-E149)</f>
        <v/>
      </c>
      <c r="G149" s="19">
        <f>IF(B149="","",IF(OR(Rules!$B$5=0,B149&gt;=0),0,-B149/Rules!$B$5))</f>
        <v/>
      </c>
      <c r="H149" s="18">
        <f>IF(B149="","",C149-Rules!$B$3)</f>
        <v/>
      </c>
      <c r="I149" s="8" t="n"/>
      <c r="J149" s="20">
        <f>IF(B149="","",IF(C149&lt;=E149,"BREACH: floor",IF(G149&gt;=1,"BREACH: daily limit",IF(F149&lt;Rules!$B$6*0.25,"Caution","OK"))))</f>
        <v/>
      </c>
    </row>
    <row r="150">
      <c r="A150" s="17" t="n"/>
      <c r="B150" s="6" t="n"/>
      <c r="C150" s="18">
        <f>IF(B150="","",Rules!$B$3+SUM($B$5:B150))</f>
        <v/>
      </c>
      <c r="D150" s="18">
        <f>IF(B150="","",MAX(Rules!$B$3,MAX($C$5:C150)))</f>
        <v/>
      </c>
      <c r="E150" s="18">
        <f>IF(B150="","",IF(Rules!$B$7="Static",Rules!$B$3-Rules!$B$6,IF(Rules!$B$8="Yes",MIN(Rules!$B$3,D150-Rules!$B$6),D150-Rules!$B$6)))</f>
        <v/>
      </c>
      <c r="F150" s="18">
        <f>IF(B150="","",C150-E150)</f>
        <v/>
      </c>
      <c r="G150" s="19">
        <f>IF(B150="","",IF(OR(Rules!$B$5=0,B150&gt;=0),0,-B150/Rules!$B$5))</f>
        <v/>
      </c>
      <c r="H150" s="18">
        <f>IF(B150="","",C150-Rules!$B$3)</f>
        <v/>
      </c>
      <c r="I150" s="8" t="n"/>
      <c r="J150" s="20">
        <f>IF(B150="","",IF(C150&lt;=E150,"BREACH: floor",IF(G150&gt;=1,"BREACH: daily limit",IF(F150&lt;Rules!$B$6*0.25,"Caution","OK"))))</f>
        <v/>
      </c>
    </row>
    <row r="151">
      <c r="A151" s="17" t="n"/>
      <c r="B151" s="6" t="n"/>
      <c r="C151" s="18">
        <f>IF(B151="","",Rules!$B$3+SUM($B$5:B151))</f>
        <v/>
      </c>
      <c r="D151" s="18">
        <f>IF(B151="","",MAX(Rules!$B$3,MAX($C$5:C151)))</f>
        <v/>
      </c>
      <c r="E151" s="18">
        <f>IF(B151="","",IF(Rules!$B$7="Static",Rules!$B$3-Rules!$B$6,IF(Rules!$B$8="Yes",MIN(Rules!$B$3,D151-Rules!$B$6),D151-Rules!$B$6)))</f>
        <v/>
      </c>
      <c r="F151" s="18">
        <f>IF(B151="","",C151-E151)</f>
        <v/>
      </c>
      <c r="G151" s="19">
        <f>IF(B151="","",IF(OR(Rules!$B$5=0,B151&gt;=0),0,-B151/Rules!$B$5))</f>
        <v/>
      </c>
      <c r="H151" s="18">
        <f>IF(B151="","",C151-Rules!$B$3)</f>
        <v/>
      </c>
      <c r="I151" s="8" t="n"/>
      <c r="J151" s="20">
        <f>IF(B151="","",IF(C151&lt;=E151,"BREACH: floor",IF(G151&gt;=1,"BREACH: daily limit",IF(F151&lt;Rules!$B$6*0.25,"Caution","OK"))))</f>
        <v/>
      </c>
    </row>
    <row r="152">
      <c r="A152" s="17" t="n"/>
      <c r="B152" s="6" t="n"/>
      <c r="C152" s="18">
        <f>IF(B152="","",Rules!$B$3+SUM($B$5:B152))</f>
        <v/>
      </c>
      <c r="D152" s="18">
        <f>IF(B152="","",MAX(Rules!$B$3,MAX($C$5:C152)))</f>
        <v/>
      </c>
      <c r="E152" s="18">
        <f>IF(B152="","",IF(Rules!$B$7="Static",Rules!$B$3-Rules!$B$6,IF(Rules!$B$8="Yes",MIN(Rules!$B$3,D152-Rules!$B$6),D152-Rules!$B$6)))</f>
        <v/>
      </c>
      <c r="F152" s="18">
        <f>IF(B152="","",C152-E152)</f>
        <v/>
      </c>
      <c r="G152" s="19">
        <f>IF(B152="","",IF(OR(Rules!$B$5=0,B152&gt;=0),0,-B152/Rules!$B$5))</f>
        <v/>
      </c>
      <c r="H152" s="18">
        <f>IF(B152="","",C152-Rules!$B$3)</f>
        <v/>
      </c>
      <c r="I152" s="8" t="n"/>
      <c r="J152" s="20">
        <f>IF(B152="","",IF(C152&lt;=E152,"BREACH: floor",IF(G152&gt;=1,"BREACH: daily limit",IF(F152&lt;Rules!$B$6*0.25,"Caution","OK"))))</f>
        <v/>
      </c>
    </row>
    <row r="153">
      <c r="A153" s="17" t="n"/>
      <c r="B153" s="6" t="n"/>
      <c r="C153" s="18">
        <f>IF(B153="","",Rules!$B$3+SUM($B$5:B153))</f>
        <v/>
      </c>
      <c r="D153" s="18">
        <f>IF(B153="","",MAX(Rules!$B$3,MAX($C$5:C153)))</f>
        <v/>
      </c>
      <c r="E153" s="18">
        <f>IF(B153="","",IF(Rules!$B$7="Static",Rules!$B$3-Rules!$B$6,IF(Rules!$B$8="Yes",MIN(Rules!$B$3,D153-Rules!$B$6),D153-Rules!$B$6)))</f>
        <v/>
      </c>
      <c r="F153" s="18">
        <f>IF(B153="","",C153-E153)</f>
        <v/>
      </c>
      <c r="G153" s="19">
        <f>IF(B153="","",IF(OR(Rules!$B$5=0,B153&gt;=0),0,-B153/Rules!$B$5))</f>
        <v/>
      </c>
      <c r="H153" s="18">
        <f>IF(B153="","",C153-Rules!$B$3)</f>
        <v/>
      </c>
      <c r="I153" s="8" t="n"/>
      <c r="J153" s="20">
        <f>IF(B153="","",IF(C153&lt;=E153,"BREACH: floor",IF(G153&gt;=1,"BREACH: daily limit",IF(F153&lt;Rules!$B$6*0.25,"Caution","OK"))))</f>
        <v/>
      </c>
    </row>
    <row r="154">
      <c r="A154" s="17" t="n"/>
      <c r="B154" s="6" t="n"/>
      <c r="C154" s="18">
        <f>IF(B154="","",Rules!$B$3+SUM($B$5:B154))</f>
        <v/>
      </c>
      <c r="D154" s="18">
        <f>IF(B154="","",MAX(Rules!$B$3,MAX($C$5:C154)))</f>
        <v/>
      </c>
      <c r="E154" s="18">
        <f>IF(B154="","",IF(Rules!$B$7="Static",Rules!$B$3-Rules!$B$6,IF(Rules!$B$8="Yes",MIN(Rules!$B$3,D154-Rules!$B$6),D154-Rules!$B$6)))</f>
        <v/>
      </c>
      <c r="F154" s="18">
        <f>IF(B154="","",C154-E154)</f>
        <v/>
      </c>
      <c r="G154" s="19">
        <f>IF(B154="","",IF(OR(Rules!$B$5=0,B154&gt;=0),0,-B154/Rules!$B$5))</f>
        <v/>
      </c>
      <c r="H154" s="18">
        <f>IF(B154="","",C154-Rules!$B$3)</f>
        <v/>
      </c>
      <c r="I154" s="8" t="n"/>
      <c r="J154" s="20">
        <f>IF(B154="","",IF(C154&lt;=E154,"BREACH: floor",IF(G154&gt;=1,"BREACH: daily limit",IF(F154&lt;Rules!$B$6*0.25,"Caution","OK"))))</f>
        <v/>
      </c>
    </row>
    <row r="155">
      <c r="A155" s="17" t="n"/>
      <c r="B155" s="6" t="n"/>
      <c r="C155" s="18">
        <f>IF(B155="","",Rules!$B$3+SUM($B$5:B155))</f>
        <v/>
      </c>
      <c r="D155" s="18">
        <f>IF(B155="","",MAX(Rules!$B$3,MAX($C$5:C155)))</f>
        <v/>
      </c>
      <c r="E155" s="18">
        <f>IF(B155="","",IF(Rules!$B$7="Static",Rules!$B$3-Rules!$B$6,IF(Rules!$B$8="Yes",MIN(Rules!$B$3,D155-Rules!$B$6),D155-Rules!$B$6)))</f>
        <v/>
      </c>
      <c r="F155" s="18">
        <f>IF(B155="","",C155-E155)</f>
        <v/>
      </c>
      <c r="G155" s="19">
        <f>IF(B155="","",IF(OR(Rules!$B$5=0,B155&gt;=0),0,-B155/Rules!$B$5))</f>
        <v/>
      </c>
      <c r="H155" s="18">
        <f>IF(B155="","",C155-Rules!$B$3)</f>
        <v/>
      </c>
      <c r="I155" s="8" t="n"/>
      <c r="J155" s="20">
        <f>IF(B155="","",IF(C155&lt;=E155,"BREACH: floor",IF(G155&gt;=1,"BREACH: daily limit",IF(F155&lt;Rules!$B$6*0.25,"Caution","OK"))))</f>
        <v/>
      </c>
    </row>
    <row r="156">
      <c r="A156" s="17" t="n"/>
      <c r="B156" s="6" t="n"/>
      <c r="C156" s="18">
        <f>IF(B156="","",Rules!$B$3+SUM($B$5:B156))</f>
        <v/>
      </c>
      <c r="D156" s="18">
        <f>IF(B156="","",MAX(Rules!$B$3,MAX($C$5:C156)))</f>
        <v/>
      </c>
      <c r="E156" s="18">
        <f>IF(B156="","",IF(Rules!$B$7="Static",Rules!$B$3-Rules!$B$6,IF(Rules!$B$8="Yes",MIN(Rules!$B$3,D156-Rules!$B$6),D156-Rules!$B$6)))</f>
        <v/>
      </c>
      <c r="F156" s="18">
        <f>IF(B156="","",C156-E156)</f>
        <v/>
      </c>
      <c r="G156" s="19">
        <f>IF(B156="","",IF(OR(Rules!$B$5=0,B156&gt;=0),0,-B156/Rules!$B$5))</f>
        <v/>
      </c>
      <c r="H156" s="18">
        <f>IF(B156="","",C156-Rules!$B$3)</f>
        <v/>
      </c>
      <c r="I156" s="8" t="n"/>
      <c r="J156" s="20">
        <f>IF(B156="","",IF(C156&lt;=E156,"BREACH: floor",IF(G156&gt;=1,"BREACH: daily limit",IF(F156&lt;Rules!$B$6*0.25,"Caution","OK"))))</f>
        <v/>
      </c>
    </row>
    <row r="157">
      <c r="A157" s="17" t="n"/>
      <c r="B157" s="6" t="n"/>
      <c r="C157" s="18">
        <f>IF(B157="","",Rules!$B$3+SUM($B$5:B157))</f>
        <v/>
      </c>
      <c r="D157" s="18">
        <f>IF(B157="","",MAX(Rules!$B$3,MAX($C$5:C157)))</f>
        <v/>
      </c>
      <c r="E157" s="18">
        <f>IF(B157="","",IF(Rules!$B$7="Static",Rules!$B$3-Rules!$B$6,IF(Rules!$B$8="Yes",MIN(Rules!$B$3,D157-Rules!$B$6),D157-Rules!$B$6)))</f>
        <v/>
      </c>
      <c r="F157" s="18">
        <f>IF(B157="","",C157-E157)</f>
        <v/>
      </c>
      <c r="G157" s="19">
        <f>IF(B157="","",IF(OR(Rules!$B$5=0,B157&gt;=0),0,-B157/Rules!$B$5))</f>
        <v/>
      </c>
      <c r="H157" s="18">
        <f>IF(B157="","",C157-Rules!$B$3)</f>
        <v/>
      </c>
      <c r="I157" s="8" t="n"/>
      <c r="J157" s="20">
        <f>IF(B157="","",IF(C157&lt;=E157,"BREACH: floor",IF(G157&gt;=1,"BREACH: daily limit",IF(F157&lt;Rules!$B$6*0.25,"Caution","OK"))))</f>
        <v/>
      </c>
    </row>
    <row r="158">
      <c r="A158" s="17" t="n"/>
      <c r="B158" s="6" t="n"/>
      <c r="C158" s="18">
        <f>IF(B158="","",Rules!$B$3+SUM($B$5:B158))</f>
        <v/>
      </c>
      <c r="D158" s="18">
        <f>IF(B158="","",MAX(Rules!$B$3,MAX($C$5:C158)))</f>
        <v/>
      </c>
      <c r="E158" s="18">
        <f>IF(B158="","",IF(Rules!$B$7="Static",Rules!$B$3-Rules!$B$6,IF(Rules!$B$8="Yes",MIN(Rules!$B$3,D158-Rules!$B$6),D158-Rules!$B$6)))</f>
        <v/>
      </c>
      <c r="F158" s="18">
        <f>IF(B158="","",C158-E158)</f>
        <v/>
      </c>
      <c r="G158" s="19">
        <f>IF(B158="","",IF(OR(Rules!$B$5=0,B158&gt;=0),0,-B158/Rules!$B$5))</f>
        <v/>
      </c>
      <c r="H158" s="18">
        <f>IF(B158="","",C158-Rules!$B$3)</f>
        <v/>
      </c>
      <c r="I158" s="8" t="n"/>
      <c r="J158" s="20">
        <f>IF(B158="","",IF(C158&lt;=E158,"BREACH: floor",IF(G158&gt;=1,"BREACH: daily limit",IF(F158&lt;Rules!$B$6*0.25,"Caution","OK"))))</f>
        <v/>
      </c>
    </row>
    <row r="159">
      <c r="A159" s="17" t="n"/>
      <c r="B159" s="6" t="n"/>
      <c r="C159" s="18">
        <f>IF(B159="","",Rules!$B$3+SUM($B$5:B159))</f>
        <v/>
      </c>
      <c r="D159" s="18">
        <f>IF(B159="","",MAX(Rules!$B$3,MAX($C$5:C159)))</f>
        <v/>
      </c>
      <c r="E159" s="18">
        <f>IF(B159="","",IF(Rules!$B$7="Static",Rules!$B$3-Rules!$B$6,IF(Rules!$B$8="Yes",MIN(Rules!$B$3,D159-Rules!$B$6),D159-Rules!$B$6)))</f>
        <v/>
      </c>
      <c r="F159" s="18">
        <f>IF(B159="","",C159-E159)</f>
        <v/>
      </c>
      <c r="G159" s="19">
        <f>IF(B159="","",IF(OR(Rules!$B$5=0,B159&gt;=0),0,-B159/Rules!$B$5))</f>
        <v/>
      </c>
      <c r="H159" s="18">
        <f>IF(B159="","",C159-Rules!$B$3)</f>
        <v/>
      </c>
      <c r="I159" s="8" t="n"/>
      <c r="J159" s="20">
        <f>IF(B159="","",IF(C159&lt;=E159,"BREACH: floor",IF(G159&gt;=1,"BREACH: daily limit",IF(F159&lt;Rules!$B$6*0.25,"Caution","OK"))))</f>
        <v/>
      </c>
    </row>
    <row r="160">
      <c r="A160" s="17" t="n"/>
      <c r="B160" s="6" t="n"/>
      <c r="C160" s="18">
        <f>IF(B160="","",Rules!$B$3+SUM($B$5:B160))</f>
        <v/>
      </c>
      <c r="D160" s="18">
        <f>IF(B160="","",MAX(Rules!$B$3,MAX($C$5:C160)))</f>
        <v/>
      </c>
      <c r="E160" s="18">
        <f>IF(B160="","",IF(Rules!$B$7="Static",Rules!$B$3-Rules!$B$6,IF(Rules!$B$8="Yes",MIN(Rules!$B$3,D160-Rules!$B$6),D160-Rules!$B$6)))</f>
        <v/>
      </c>
      <c r="F160" s="18">
        <f>IF(B160="","",C160-E160)</f>
        <v/>
      </c>
      <c r="G160" s="19">
        <f>IF(B160="","",IF(OR(Rules!$B$5=0,B160&gt;=0),0,-B160/Rules!$B$5))</f>
        <v/>
      </c>
      <c r="H160" s="18">
        <f>IF(B160="","",C160-Rules!$B$3)</f>
        <v/>
      </c>
      <c r="I160" s="8" t="n"/>
      <c r="J160" s="20">
        <f>IF(B160="","",IF(C160&lt;=E160,"BREACH: floor",IF(G160&gt;=1,"BREACH: daily limit",IF(F160&lt;Rules!$B$6*0.25,"Caution","OK"))))</f>
        <v/>
      </c>
    </row>
    <row r="161">
      <c r="A161" s="17" t="n"/>
      <c r="B161" s="6" t="n"/>
      <c r="C161" s="18">
        <f>IF(B161="","",Rules!$B$3+SUM($B$5:B161))</f>
        <v/>
      </c>
      <c r="D161" s="18">
        <f>IF(B161="","",MAX(Rules!$B$3,MAX($C$5:C161)))</f>
        <v/>
      </c>
      <c r="E161" s="18">
        <f>IF(B161="","",IF(Rules!$B$7="Static",Rules!$B$3-Rules!$B$6,IF(Rules!$B$8="Yes",MIN(Rules!$B$3,D161-Rules!$B$6),D161-Rules!$B$6)))</f>
        <v/>
      </c>
      <c r="F161" s="18">
        <f>IF(B161="","",C161-E161)</f>
        <v/>
      </c>
      <c r="G161" s="19">
        <f>IF(B161="","",IF(OR(Rules!$B$5=0,B161&gt;=0),0,-B161/Rules!$B$5))</f>
        <v/>
      </c>
      <c r="H161" s="18">
        <f>IF(B161="","",C161-Rules!$B$3)</f>
        <v/>
      </c>
      <c r="I161" s="8" t="n"/>
      <c r="J161" s="20">
        <f>IF(B161="","",IF(C161&lt;=E161,"BREACH: floor",IF(G161&gt;=1,"BREACH: daily limit",IF(F161&lt;Rules!$B$6*0.25,"Caution","OK"))))</f>
        <v/>
      </c>
    </row>
    <row r="162">
      <c r="A162" s="17" t="n"/>
      <c r="B162" s="6" t="n"/>
      <c r="C162" s="18">
        <f>IF(B162="","",Rules!$B$3+SUM($B$5:B162))</f>
        <v/>
      </c>
      <c r="D162" s="18">
        <f>IF(B162="","",MAX(Rules!$B$3,MAX($C$5:C162)))</f>
        <v/>
      </c>
      <c r="E162" s="18">
        <f>IF(B162="","",IF(Rules!$B$7="Static",Rules!$B$3-Rules!$B$6,IF(Rules!$B$8="Yes",MIN(Rules!$B$3,D162-Rules!$B$6),D162-Rules!$B$6)))</f>
        <v/>
      </c>
      <c r="F162" s="18">
        <f>IF(B162="","",C162-E162)</f>
        <v/>
      </c>
      <c r="G162" s="19">
        <f>IF(B162="","",IF(OR(Rules!$B$5=0,B162&gt;=0),0,-B162/Rules!$B$5))</f>
        <v/>
      </c>
      <c r="H162" s="18">
        <f>IF(B162="","",C162-Rules!$B$3)</f>
        <v/>
      </c>
      <c r="I162" s="8" t="n"/>
      <c r="J162" s="20">
        <f>IF(B162="","",IF(C162&lt;=E162,"BREACH: floor",IF(G162&gt;=1,"BREACH: daily limit",IF(F162&lt;Rules!$B$6*0.25,"Caution","OK"))))</f>
        <v/>
      </c>
    </row>
    <row r="163">
      <c r="A163" s="17" t="n"/>
      <c r="B163" s="6" t="n"/>
      <c r="C163" s="18">
        <f>IF(B163="","",Rules!$B$3+SUM($B$5:B163))</f>
        <v/>
      </c>
      <c r="D163" s="18">
        <f>IF(B163="","",MAX(Rules!$B$3,MAX($C$5:C163)))</f>
        <v/>
      </c>
      <c r="E163" s="18">
        <f>IF(B163="","",IF(Rules!$B$7="Static",Rules!$B$3-Rules!$B$6,IF(Rules!$B$8="Yes",MIN(Rules!$B$3,D163-Rules!$B$6),D163-Rules!$B$6)))</f>
        <v/>
      </c>
      <c r="F163" s="18">
        <f>IF(B163="","",C163-E163)</f>
        <v/>
      </c>
      <c r="G163" s="19">
        <f>IF(B163="","",IF(OR(Rules!$B$5=0,B163&gt;=0),0,-B163/Rules!$B$5))</f>
        <v/>
      </c>
      <c r="H163" s="18">
        <f>IF(B163="","",C163-Rules!$B$3)</f>
        <v/>
      </c>
      <c r="I163" s="8" t="n"/>
      <c r="J163" s="20">
        <f>IF(B163="","",IF(C163&lt;=E163,"BREACH: floor",IF(G163&gt;=1,"BREACH: daily limit",IF(F163&lt;Rules!$B$6*0.25,"Caution","OK"))))</f>
        <v/>
      </c>
    </row>
    <row r="164">
      <c r="A164" s="17" t="n"/>
      <c r="B164" s="6" t="n"/>
      <c r="C164" s="18">
        <f>IF(B164="","",Rules!$B$3+SUM($B$5:B164))</f>
        <v/>
      </c>
      <c r="D164" s="18">
        <f>IF(B164="","",MAX(Rules!$B$3,MAX($C$5:C164)))</f>
        <v/>
      </c>
      <c r="E164" s="18">
        <f>IF(B164="","",IF(Rules!$B$7="Static",Rules!$B$3-Rules!$B$6,IF(Rules!$B$8="Yes",MIN(Rules!$B$3,D164-Rules!$B$6),D164-Rules!$B$6)))</f>
        <v/>
      </c>
      <c r="F164" s="18">
        <f>IF(B164="","",C164-E164)</f>
        <v/>
      </c>
      <c r="G164" s="19">
        <f>IF(B164="","",IF(OR(Rules!$B$5=0,B164&gt;=0),0,-B164/Rules!$B$5))</f>
        <v/>
      </c>
      <c r="H164" s="18">
        <f>IF(B164="","",C164-Rules!$B$3)</f>
        <v/>
      </c>
      <c r="I164" s="8" t="n"/>
      <c r="J164" s="20">
        <f>IF(B164="","",IF(C164&lt;=E164,"BREACH: floor",IF(G164&gt;=1,"BREACH: daily limit",IF(F164&lt;Rules!$B$6*0.25,"Caution","OK"))))</f>
        <v/>
      </c>
    </row>
    <row r="165">
      <c r="A165" s="17" t="n"/>
      <c r="B165" s="6" t="n"/>
      <c r="C165" s="18">
        <f>IF(B165="","",Rules!$B$3+SUM($B$5:B165))</f>
        <v/>
      </c>
      <c r="D165" s="18">
        <f>IF(B165="","",MAX(Rules!$B$3,MAX($C$5:C165)))</f>
        <v/>
      </c>
      <c r="E165" s="18">
        <f>IF(B165="","",IF(Rules!$B$7="Static",Rules!$B$3-Rules!$B$6,IF(Rules!$B$8="Yes",MIN(Rules!$B$3,D165-Rules!$B$6),D165-Rules!$B$6)))</f>
        <v/>
      </c>
      <c r="F165" s="18">
        <f>IF(B165="","",C165-E165)</f>
        <v/>
      </c>
      <c r="G165" s="19">
        <f>IF(B165="","",IF(OR(Rules!$B$5=0,B165&gt;=0),0,-B165/Rules!$B$5))</f>
        <v/>
      </c>
      <c r="H165" s="18">
        <f>IF(B165="","",C165-Rules!$B$3)</f>
        <v/>
      </c>
      <c r="I165" s="8" t="n"/>
      <c r="J165" s="20">
        <f>IF(B165="","",IF(C165&lt;=E165,"BREACH: floor",IF(G165&gt;=1,"BREACH: daily limit",IF(F165&lt;Rules!$B$6*0.25,"Caution","OK"))))</f>
        <v/>
      </c>
    </row>
    <row r="166">
      <c r="A166" s="17" t="n"/>
      <c r="B166" s="6" t="n"/>
      <c r="C166" s="18">
        <f>IF(B166="","",Rules!$B$3+SUM($B$5:B166))</f>
        <v/>
      </c>
      <c r="D166" s="18">
        <f>IF(B166="","",MAX(Rules!$B$3,MAX($C$5:C166)))</f>
        <v/>
      </c>
      <c r="E166" s="18">
        <f>IF(B166="","",IF(Rules!$B$7="Static",Rules!$B$3-Rules!$B$6,IF(Rules!$B$8="Yes",MIN(Rules!$B$3,D166-Rules!$B$6),D166-Rules!$B$6)))</f>
        <v/>
      </c>
      <c r="F166" s="18">
        <f>IF(B166="","",C166-E166)</f>
        <v/>
      </c>
      <c r="G166" s="19">
        <f>IF(B166="","",IF(OR(Rules!$B$5=0,B166&gt;=0),0,-B166/Rules!$B$5))</f>
        <v/>
      </c>
      <c r="H166" s="18">
        <f>IF(B166="","",C166-Rules!$B$3)</f>
        <v/>
      </c>
      <c r="I166" s="8" t="n"/>
      <c r="J166" s="20">
        <f>IF(B166="","",IF(C166&lt;=E166,"BREACH: floor",IF(G166&gt;=1,"BREACH: daily limit",IF(F166&lt;Rules!$B$6*0.25,"Caution","OK"))))</f>
        <v/>
      </c>
    </row>
    <row r="167">
      <c r="A167" s="17" t="n"/>
      <c r="B167" s="6" t="n"/>
      <c r="C167" s="18">
        <f>IF(B167="","",Rules!$B$3+SUM($B$5:B167))</f>
        <v/>
      </c>
      <c r="D167" s="18">
        <f>IF(B167="","",MAX(Rules!$B$3,MAX($C$5:C167)))</f>
        <v/>
      </c>
      <c r="E167" s="18">
        <f>IF(B167="","",IF(Rules!$B$7="Static",Rules!$B$3-Rules!$B$6,IF(Rules!$B$8="Yes",MIN(Rules!$B$3,D167-Rules!$B$6),D167-Rules!$B$6)))</f>
        <v/>
      </c>
      <c r="F167" s="18">
        <f>IF(B167="","",C167-E167)</f>
        <v/>
      </c>
      <c r="G167" s="19">
        <f>IF(B167="","",IF(OR(Rules!$B$5=0,B167&gt;=0),0,-B167/Rules!$B$5))</f>
        <v/>
      </c>
      <c r="H167" s="18">
        <f>IF(B167="","",C167-Rules!$B$3)</f>
        <v/>
      </c>
      <c r="I167" s="8" t="n"/>
      <c r="J167" s="20">
        <f>IF(B167="","",IF(C167&lt;=E167,"BREACH: floor",IF(G167&gt;=1,"BREACH: daily limit",IF(F167&lt;Rules!$B$6*0.25,"Caution","OK"))))</f>
        <v/>
      </c>
    </row>
    <row r="168">
      <c r="A168" s="17" t="n"/>
      <c r="B168" s="6" t="n"/>
      <c r="C168" s="18">
        <f>IF(B168="","",Rules!$B$3+SUM($B$5:B168))</f>
        <v/>
      </c>
      <c r="D168" s="18">
        <f>IF(B168="","",MAX(Rules!$B$3,MAX($C$5:C168)))</f>
        <v/>
      </c>
      <c r="E168" s="18">
        <f>IF(B168="","",IF(Rules!$B$7="Static",Rules!$B$3-Rules!$B$6,IF(Rules!$B$8="Yes",MIN(Rules!$B$3,D168-Rules!$B$6),D168-Rules!$B$6)))</f>
        <v/>
      </c>
      <c r="F168" s="18">
        <f>IF(B168="","",C168-E168)</f>
        <v/>
      </c>
      <c r="G168" s="19">
        <f>IF(B168="","",IF(OR(Rules!$B$5=0,B168&gt;=0),0,-B168/Rules!$B$5))</f>
        <v/>
      </c>
      <c r="H168" s="18">
        <f>IF(B168="","",C168-Rules!$B$3)</f>
        <v/>
      </c>
      <c r="I168" s="8" t="n"/>
      <c r="J168" s="20">
        <f>IF(B168="","",IF(C168&lt;=E168,"BREACH: floor",IF(G168&gt;=1,"BREACH: daily limit",IF(F168&lt;Rules!$B$6*0.25,"Caution","OK"))))</f>
        <v/>
      </c>
    </row>
    <row r="169">
      <c r="A169" s="17" t="n"/>
      <c r="B169" s="6" t="n"/>
      <c r="C169" s="18">
        <f>IF(B169="","",Rules!$B$3+SUM($B$5:B169))</f>
        <v/>
      </c>
      <c r="D169" s="18">
        <f>IF(B169="","",MAX(Rules!$B$3,MAX($C$5:C169)))</f>
        <v/>
      </c>
      <c r="E169" s="18">
        <f>IF(B169="","",IF(Rules!$B$7="Static",Rules!$B$3-Rules!$B$6,IF(Rules!$B$8="Yes",MIN(Rules!$B$3,D169-Rules!$B$6),D169-Rules!$B$6)))</f>
        <v/>
      </c>
      <c r="F169" s="18">
        <f>IF(B169="","",C169-E169)</f>
        <v/>
      </c>
      <c r="G169" s="19">
        <f>IF(B169="","",IF(OR(Rules!$B$5=0,B169&gt;=0),0,-B169/Rules!$B$5))</f>
        <v/>
      </c>
      <c r="H169" s="18">
        <f>IF(B169="","",C169-Rules!$B$3)</f>
        <v/>
      </c>
      <c r="I169" s="8" t="n"/>
      <c r="J169" s="20">
        <f>IF(B169="","",IF(C169&lt;=E169,"BREACH: floor",IF(G169&gt;=1,"BREACH: daily limit",IF(F169&lt;Rules!$B$6*0.25,"Caution","OK"))))</f>
        <v/>
      </c>
    </row>
    <row r="170">
      <c r="A170" s="17" t="n"/>
      <c r="B170" s="6" t="n"/>
      <c r="C170" s="18">
        <f>IF(B170="","",Rules!$B$3+SUM($B$5:B170))</f>
        <v/>
      </c>
      <c r="D170" s="18">
        <f>IF(B170="","",MAX(Rules!$B$3,MAX($C$5:C170)))</f>
        <v/>
      </c>
      <c r="E170" s="18">
        <f>IF(B170="","",IF(Rules!$B$7="Static",Rules!$B$3-Rules!$B$6,IF(Rules!$B$8="Yes",MIN(Rules!$B$3,D170-Rules!$B$6),D170-Rules!$B$6)))</f>
        <v/>
      </c>
      <c r="F170" s="18">
        <f>IF(B170="","",C170-E170)</f>
        <v/>
      </c>
      <c r="G170" s="19">
        <f>IF(B170="","",IF(OR(Rules!$B$5=0,B170&gt;=0),0,-B170/Rules!$B$5))</f>
        <v/>
      </c>
      <c r="H170" s="18">
        <f>IF(B170="","",C170-Rules!$B$3)</f>
        <v/>
      </c>
      <c r="I170" s="8" t="n"/>
      <c r="J170" s="20">
        <f>IF(B170="","",IF(C170&lt;=E170,"BREACH: floor",IF(G170&gt;=1,"BREACH: daily limit",IF(F170&lt;Rules!$B$6*0.25,"Caution","OK"))))</f>
        <v/>
      </c>
    </row>
    <row r="171">
      <c r="A171" s="17" t="n"/>
      <c r="B171" s="6" t="n"/>
      <c r="C171" s="18">
        <f>IF(B171="","",Rules!$B$3+SUM($B$5:B171))</f>
        <v/>
      </c>
      <c r="D171" s="18">
        <f>IF(B171="","",MAX(Rules!$B$3,MAX($C$5:C171)))</f>
        <v/>
      </c>
      <c r="E171" s="18">
        <f>IF(B171="","",IF(Rules!$B$7="Static",Rules!$B$3-Rules!$B$6,IF(Rules!$B$8="Yes",MIN(Rules!$B$3,D171-Rules!$B$6),D171-Rules!$B$6)))</f>
        <v/>
      </c>
      <c r="F171" s="18">
        <f>IF(B171="","",C171-E171)</f>
        <v/>
      </c>
      <c r="G171" s="19">
        <f>IF(B171="","",IF(OR(Rules!$B$5=0,B171&gt;=0),0,-B171/Rules!$B$5))</f>
        <v/>
      </c>
      <c r="H171" s="18">
        <f>IF(B171="","",C171-Rules!$B$3)</f>
        <v/>
      </c>
      <c r="I171" s="8" t="n"/>
      <c r="J171" s="20">
        <f>IF(B171="","",IF(C171&lt;=E171,"BREACH: floor",IF(G171&gt;=1,"BREACH: daily limit",IF(F171&lt;Rules!$B$6*0.25,"Caution","OK"))))</f>
        <v/>
      </c>
    </row>
    <row r="172">
      <c r="A172" s="17" t="n"/>
      <c r="B172" s="6" t="n"/>
      <c r="C172" s="18">
        <f>IF(B172="","",Rules!$B$3+SUM($B$5:B172))</f>
        <v/>
      </c>
      <c r="D172" s="18">
        <f>IF(B172="","",MAX(Rules!$B$3,MAX($C$5:C172)))</f>
        <v/>
      </c>
      <c r="E172" s="18">
        <f>IF(B172="","",IF(Rules!$B$7="Static",Rules!$B$3-Rules!$B$6,IF(Rules!$B$8="Yes",MIN(Rules!$B$3,D172-Rules!$B$6),D172-Rules!$B$6)))</f>
        <v/>
      </c>
      <c r="F172" s="18">
        <f>IF(B172="","",C172-E172)</f>
        <v/>
      </c>
      <c r="G172" s="19">
        <f>IF(B172="","",IF(OR(Rules!$B$5=0,B172&gt;=0),0,-B172/Rules!$B$5))</f>
        <v/>
      </c>
      <c r="H172" s="18">
        <f>IF(B172="","",C172-Rules!$B$3)</f>
        <v/>
      </c>
      <c r="I172" s="8" t="n"/>
      <c r="J172" s="20">
        <f>IF(B172="","",IF(C172&lt;=E172,"BREACH: floor",IF(G172&gt;=1,"BREACH: daily limit",IF(F172&lt;Rules!$B$6*0.25,"Caution","OK"))))</f>
        <v/>
      </c>
    </row>
    <row r="173">
      <c r="A173" s="17" t="n"/>
      <c r="B173" s="6" t="n"/>
      <c r="C173" s="18">
        <f>IF(B173="","",Rules!$B$3+SUM($B$5:B173))</f>
        <v/>
      </c>
      <c r="D173" s="18">
        <f>IF(B173="","",MAX(Rules!$B$3,MAX($C$5:C173)))</f>
        <v/>
      </c>
      <c r="E173" s="18">
        <f>IF(B173="","",IF(Rules!$B$7="Static",Rules!$B$3-Rules!$B$6,IF(Rules!$B$8="Yes",MIN(Rules!$B$3,D173-Rules!$B$6),D173-Rules!$B$6)))</f>
        <v/>
      </c>
      <c r="F173" s="18">
        <f>IF(B173="","",C173-E173)</f>
        <v/>
      </c>
      <c r="G173" s="19">
        <f>IF(B173="","",IF(OR(Rules!$B$5=0,B173&gt;=0),0,-B173/Rules!$B$5))</f>
        <v/>
      </c>
      <c r="H173" s="18">
        <f>IF(B173="","",C173-Rules!$B$3)</f>
        <v/>
      </c>
      <c r="I173" s="8" t="n"/>
      <c r="J173" s="20">
        <f>IF(B173="","",IF(C173&lt;=E173,"BREACH: floor",IF(G173&gt;=1,"BREACH: daily limit",IF(F173&lt;Rules!$B$6*0.25,"Caution","OK"))))</f>
        <v/>
      </c>
    </row>
    <row r="174">
      <c r="A174" s="17" t="n"/>
      <c r="B174" s="6" t="n"/>
      <c r="C174" s="18">
        <f>IF(B174="","",Rules!$B$3+SUM($B$5:B174))</f>
        <v/>
      </c>
      <c r="D174" s="18">
        <f>IF(B174="","",MAX(Rules!$B$3,MAX($C$5:C174)))</f>
        <v/>
      </c>
      <c r="E174" s="18">
        <f>IF(B174="","",IF(Rules!$B$7="Static",Rules!$B$3-Rules!$B$6,IF(Rules!$B$8="Yes",MIN(Rules!$B$3,D174-Rules!$B$6),D174-Rules!$B$6)))</f>
        <v/>
      </c>
      <c r="F174" s="18">
        <f>IF(B174="","",C174-E174)</f>
        <v/>
      </c>
      <c r="G174" s="19">
        <f>IF(B174="","",IF(OR(Rules!$B$5=0,B174&gt;=0),0,-B174/Rules!$B$5))</f>
        <v/>
      </c>
      <c r="H174" s="18">
        <f>IF(B174="","",C174-Rules!$B$3)</f>
        <v/>
      </c>
      <c r="I174" s="8" t="n"/>
      <c r="J174" s="20">
        <f>IF(B174="","",IF(C174&lt;=E174,"BREACH: floor",IF(G174&gt;=1,"BREACH: daily limit",IF(F174&lt;Rules!$B$6*0.25,"Caution","OK"))))</f>
        <v/>
      </c>
    </row>
    <row r="175">
      <c r="A175" s="17" t="n"/>
      <c r="B175" s="6" t="n"/>
      <c r="C175" s="18">
        <f>IF(B175="","",Rules!$B$3+SUM($B$5:B175))</f>
        <v/>
      </c>
      <c r="D175" s="18">
        <f>IF(B175="","",MAX(Rules!$B$3,MAX($C$5:C175)))</f>
        <v/>
      </c>
      <c r="E175" s="18">
        <f>IF(B175="","",IF(Rules!$B$7="Static",Rules!$B$3-Rules!$B$6,IF(Rules!$B$8="Yes",MIN(Rules!$B$3,D175-Rules!$B$6),D175-Rules!$B$6)))</f>
        <v/>
      </c>
      <c r="F175" s="18">
        <f>IF(B175="","",C175-E175)</f>
        <v/>
      </c>
      <c r="G175" s="19">
        <f>IF(B175="","",IF(OR(Rules!$B$5=0,B175&gt;=0),0,-B175/Rules!$B$5))</f>
        <v/>
      </c>
      <c r="H175" s="18">
        <f>IF(B175="","",C175-Rules!$B$3)</f>
        <v/>
      </c>
      <c r="I175" s="8" t="n"/>
      <c r="J175" s="20">
        <f>IF(B175="","",IF(C175&lt;=E175,"BREACH: floor",IF(G175&gt;=1,"BREACH: daily limit",IF(F175&lt;Rules!$B$6*0.25,"Caution","OK"))))</f>
        <v/>
      </c>
    </row>
    <row r="176">
      <c r="A176" s="17" t="n"/>
      <c r="B176" s="6" t="n"/>
      <c r="C176" s="18">
        <f>IF(B176="","",Rules!$B$3+SUM($B$5:B176))</f>
        <v/>
      </c>
      <c r="D176" s="18">
        <f>IF(B176="","",MAX(Rules!$B$3,MAX($C$5:C176)))</f>
        <v/>
      </c>
      <c r="E176" s="18">
        <f>IF(B176="","",IF(Rules!$B$7="Static",Rules!$B$3-Rules!$B$6,IF(Rules!$B$8="Yes",MIN(Rules!$B$3,D176-Rules!$B$6),D176-Rules!$B$6)))</f>
        <v/>
      </c>
      <c r="F176" s="18">
        <f>IF(B176="","",C176-E176)</f>
        <v/>
      </c>
      <c r="G176" s="19">
        <f>IF(B176="","",IF(OR(Rules!$B$5=0,B176&gt;=0),0,-B176/Rules!$B$5))</f>
        <v/>
      </c>
      <c r="H176" s="18">
        <f>IF(B176="","",C176-Rules!$B$3)</f>
        <v/>
      </c>
      <c r="I176" s="8" t="n"/>
      <c r="J176" s="20">
        <f>IF(B176="","",IF(C176&lt;=E176,"BREACH: floor",IF(G176&gt;=1,"BREACH: daily limit",IF(F176&lt;Rules!$B$6*0.25,"Caution","OK"))))</f>
        <v/>
      </c>
    </row>
    <row r="177">
      <c r="A177" s="17" t="n"/>
      <c r="B177" s="6" t="n"/>
      <c r="C177" s="18">
        <f>IF(B177="","",Rules!$B$3+SUM($B$5:B177))</f>
        <v/>
      </c>
      <c r="D177" s="18">
        <f>IF(B177="","",MAX(Rules!$B$3,MAX($C$5:C177)))</f>
        <v/>
      </c>
      <c r="E177" s="18">
        <f>IF(B177="","",IF(Rules!$B$7="Static",Rules!$B$3-Rules!$B$6,IF(Rules!$B$8="Yes",MIN(Rules!$B$3,D177-Rules!$B$6),D177-Rules!$B$6)))</f>
        <v/>
      </c>
      <c r="F177" s="18">
        <f>IF(B177="","",C177-E177)</f>
        <v/>
      </c>
      <c r="G177" s="19">
        <f>IF(B177="","",IF(OR(Rules!$B$5=0,B177&gt;=0),0,-B177/Rules!$B$5))</f>
        <v/>
      </c>
      <c r="H177" s="18">
        <f>IF(B177="","",C177-Rules!$B$3)</f>
        <v/>
      </c>
      <c r="I177" s="8" t="n"/>
      <c r="J177" s="20">
        <f>IF(B177="","",IF(C177&lt;=E177,"BREACH: floor",IF(G177&gt;=1,"BREACH: daily limit",IF(F177&lt;Rules!$B$6*0.25,"Caution","OK"))))</f>
        <v/>
      </c>
    </row>
    <row r="178">
      <c r="A178" s="17" t="n"/>
      <c r="B178" s="6" t="n"/>
      <c r="C178" s="18">
        <f>IF(B178="","",Rules!$B$3+SUM($B$5:B178))</f>
        <v/>
      </c>
      <c r="D178" s="18">
        <f>IF(B178="","",MAX(Rules!$B$3,MAX($C$5:C178)))</f>
        <v/>
      </c>
      <c r="E178" s="18">
        <f>IF(B178="","",IF(Rules!$B$7="Static",Rules!$B$3-Rules!$B$6,IF(Rules!$B$8="Yes",MIN(Rules!$B$3,D178-Rules!$B$6),D178-Rules!$B$6)))</f>
        <v/>
      </c>
      <c r="F178" s="18">
        <f>IF(B178="","",C178-E178)</f>
        <v/>
      </c>
      <c r="G178" s="19">
        <f>IF(B178="","",IF(OR(Rules!$B$5=0,B178&gt;=0),0,-B178/Rules!$B$5))</f>
        <v/>
      </c>
      <c r="H178" s="18">
        <f>IF(B178="","",C178-Rules!$B$3)</f>
        <v/>
      </c>
      <c r="I178" s="8" t="n"/>
      <c r="J178" s="20">
        <f>IF(B178="","",IF(C178&lt;=E178,"BREACH: floor",IF(G178&gt;=1,"BREACH: daily limit",IF(F178&lt;Rules!$B$6*0.25,"Caution","OK"))))</f>
        <v/>
      </c>
    </row>
    <row r="179">
      <c r="A179" s="17" t="n"/>
      <c r="B179" s="6" t="n"/>
      <c r="C179" s="18">
        <f>IF(B179="","",Rules!$B$3+SUM($B$5:B179))</f>
        <v/>
      </c>
      <c r="D179" s="18">
        <f>IF(B179="","",MAX(Rules!$B$3,MAX($C$5:C179)))</f>
        <v/>
      </c>
      <c r="E179" s="18">
        <f>IF(B179="","",IF(Rules!$B$7="Static",Rules!$B$3-Rules!$B$6,IF(Rules!$B$8="Yes",MIN(Rules!$B$3,D179-Rules!$B$6),D179-Rules!$B$6)))</f>
        <v/>
      </c>
      <c r="F179" s="18">
        <f>IF(B179="","",C179-E179)</f>
        <v/>
      </c>
      <c r="G179" s="19">
        <f>IF(B179="","",IF(OR(Rules!$B$5=0,B179&gt;=0),0,-B179/Rules!$B$5))</f>
        <v/>
      </c>
      <c r="H179" s="18">
        <f>IF(B179="","",C179-Rules!$B$3)</f>
        <v/>
      </c>
      <c r="I179" s="8" t="n"/>
      <c r="J179" s="20">
        <f>IF(B179="","",IF(C179&lt;=E179,"BREACH: floor",IF(G179&gt;=1,"BREACH: daily limit",IF(F179&lt;Rules!$B$6*0.25,"Caution","OK"))))</f>
        <v/>
      </c>
    </row>
    <row r="180">
      <c r="A180" s="17" t="n"/>
      <c r="B180" s="6" t="n"/>
      <c r="C180" s="18">
        <f>IF(B180="","",Rules!$B$3+SUM($B$5:B180))</f>
        <v/>
      </c>
      <c r="D180" s="18">
        <f>IF(B180="","",MAX(Rules!$B$3,MAX($C$5:C180)))</f>
        <v/>
      </c>
      <c r="E180" s="18">
        <f>IF(B180="","",IF(Rules!$B$7="Static",Rules!$B$3-Rules!$B$6,IF(Rules!$B$8="Yes",MIN(Rules!$B$3,D180-Rules!$B$6),D180-Rules!$B$6)))</f>
        <v/>
      </c>
      <c r="F180" s="18">
        <f>IF(B180="","",C180-E180)</f>
        <v/>
      </c>
      <c r="G180" s="19">
        <f>IF(B180="","",IF(OR(Rules!$B$5=0,B180&gt;=0),0,-B180/Rules!$B$5))</f>
        <v/>
      </c>
      <c r="H180" s="18">
        <f>IF(B180="","",C180-Rules!$B$3)</f>
        <v/>
      </c>
      <c r="I180" s="8" t="n"/>
      <c r="J180" s="20">
        <f>IF(B180="","",IF(C180&lt;=E180,"BREACH: floor",IF(G180&gt;=1,"BREACH: daily limit",IF(F180&lt;Rules!$B$6*0.25,"Caution","OK"))))</f>
        <v/>
      </c>
    </row>
    <row r="181">
      <c r="A181" s="17" t="n"/>
      <c r="B181" s="6" t="n"/>
      <c r="C181" s="18">
        <f>IF(B181="","",Rules!$B$3+SUM($B$5:B181))</f>
        <v/>
      </c>
      <c r="D181" s="18">
        <f>IF(B181="","",MAX(Rules!$B$3,MAX($C$5:C181)))</f>
        <v/>
      </c>
      <c r="E181" s="18">
        <f>IF(B181="","",IF(Rules!$B$7="Static",Rules!$B$3-Rules!$B$6,IF(Rules!$B$8="Yes",MIN(Rules!$B$3,D181-Rules!$B$6),D181-Rules!$B$6)))</f>
        <v/>
      </c>
      <c r="F181" s="18">
        <f>IF(B181="","",C181-E181)</f>
        <v/>
      </c>
      <c r="G181" s="19">
        <f>IF(B181="","",IF(OR(Rules!$B$5=0,B181&gt;=0),0,-B181/Rules!$B$5))</f>
        <v/>
      </c>
      <c r="H181" s="18">
        <f>IF(B181="","",C181-Rules!$B$3)</f>
        <v/>
      </c>
      <c r="I181" s="8" t="n"/>
      <c r="J181" s="20">
        <f>IF(B181="","",IF(C181&lt;=E181,"BREACH: floor",IF(G181&gt;=1,"BREACH: daily limit",IF(F181&lt;Rules!$B$6*0.25,"Caution","OK"))))</f>
        <v/>
      </c>
    </row>
    <row r="182">
      <c r="A182" s="17" t="n"/>
      <c r="B182" s="6" t="n"/>
      <c r="C182" s="18">
        <f>IF(B182="","",Rules!$B$3+SUM($B$5:B182))</f>
        <v/>
      </c>
      <c r="D182" s="18">
        <f>IF(B182="","",MAX(Rules!$B$3,MAX($C$5:C182)))</f>
        <v/>
      </c>
      <c r="E182" s="18">
        <f>IF(B182="","",IF(Rules!$B$7="Static",Rules!$B$3-Rules!$B$6,IF(Rules!$B$8="Yes",MIN(Rules!$B$3,D182-Rules!$B$6),D182-Rules!$B$6)))</f>
        <v/>
      </c>
      <c r="F182" s="18">
        <f>IF(B182="","",C182-E182)</f>
        <v/>
      </c>
      <c r="G182" s="19">
        <f>IF(B182="","",IF(OR(Rules!$B$5=0,B182&gt;=0),0,-B182/Rules!$B$5))</f>
        <v/>
      </c>
      <c r="H182" s="18">
        <f>IF(B182="","",C182-Rules!$B$3)</f>
        <v/>
      </c>
      <c r="I182" s="8" t="n"/>
      <c r="J182" s="20">
        <f>IF(B182="","",IF(C182&lt;=E182,"BREACH: floor",IF(G182&gt;=1,"BREACH: daily limit",IF(F182&lt;Rules!$B$6*0.25,"Caution","OK"))))</f>
        <v/>
      </c>
    </row>
    <row r="183">
      <c r="A183" s="17" t="n"/>
      <c r="B183" s="6" t="n"/>
      <c r="C183" s="18">
        <f>IF(B183="","",Rules!$B$3+SUM($B$5:B183))</f>
        <v/>
      </c>
      <c r="D183" s="18">
        <f>IF(B183="","",MAX(Rules!$B$3,MAX($C$5:C183)))</f>
        <v/>
      </c>
      <c r="E183" s="18">
        <f>IF(B183="","",IF(Rules!$B$7="Static",Rules!$B$3-Rules!$B$6,IF(Rules!$B$8="Yes",MIN(Rules!$B$3,D183-Rules!$B$6),D183-Rules!$B$6)))</f>
        <v/>
      </c>
      <c r="F183" s="18">
        <f>IF(B183="","",C183-E183)</f>
        <v/>
      </c>
      <c r="G183" s="19">
        <f>IF(B183="","",IF(OR(Rules!$B$5=0,B183&gt;=0),0,-B183/Rules!$B$5))</f>
        <v/>
      </c>
      <c r="H183" s="18">
        <f>IF(B183="","",C183-Rules!$B$3)</f>
        <v/>
      </c>
      <c r="I183" s="8" t="n"/>
      <c r="J183" s="20">
        <f>IF(B183="","",IF(C183&lt;=E183,"BREACH: floor",IF(G183&gt;=1,"BREACH: daily limit",IF(F183&lt;Rules!$B$6*0.25,"Caution","OK"))))</f>
        <v/>
      </c>
    </row>
    <row r="184">
      <c r="A184" s="17" t="n"/>
      <c r="B184" s="6" t="n"/>
      <c r="C184" s="18">
        <f>IF(B184="","",Rules!$B$3+SUM($B$5:B184))</f>
        <v/>
      </c>
      <c r="D184" s="18">
        <f>IF(B184="","",MAX(Rules!$B$3,MAX($C$5:C184)))</f>
        <v/>
      </c>
      <c r="E184" s="18">
        <f>IF(B184="","",IF(Rules!$B$7="Static",Rules!$B$3-Rules!$B$6,IF(Rules!$B$8="Yes",MIN(Rules!$B$3,D184-Rules!$B$6),D184-Rules!$B$6)))</f>
        <v/>
      </c>
      <c r="F184" s="18">
        <f>IF(B184="","",C184-E184)</f>
        <v/>
      </c>
      <c r="G184" s="19">
        <f>IF(B184="","",IF(OR(Rules!$B$5=0,B184&gt;=0),0,-B184/Rules!$B$5))</f>
        <v/>
      </c>
      <c r="H184" s="18">
        <f>IF(B184="","",C184-Rules!$B$3)</f>
        <v/>
      </c>
      <c r="I184" s="8" t="n"/>
      <c r="J184" s="20">
        <f>IF(B184="","",IF(C184&lt;=E184,"BREACH: floor",IF(G184&gt;=1,"BREACH: daily limit",IF(F184&lt;Rules!$B$6*0.25,"Caution","OK"))))</f>
        <v/>
      </c>
    </row>
    <row r="185">
      <c r="A185" s="17" t="n"/>
      <c r="B185" s="6" t="n"/>
      <c r="C185" s="18">
        <f>IF(B185="","",Rules!$B$3+SUM($B$5:B185))</f>
        <v/>
      </c>
      <c r="D185" s="18">
        <f>IF(B185="","",MAX(Rules!$B$3,MAX($C$5:C185)))</f>
        <v/>
      </c>
      <c r="E185" s="18">
        <f>IF(B185="","",IF(Rules!$B$7="Static",Rules!$B$3-Rules!$B$6,IF(Rules!$B$8="Yes",MIN(Rules!$B$3,D185-Rules!$B$6),D185-Rules!$B$6)))</f>
        <v/>
      </c>
      <c r="F185" s="18">
        <f>IF(B185="","",C185-E185)</f>
        <v/>
      </c>
      <c r="G185" s="19">
        <f>IF(B185="","",IF(OR(Rules!$B$5=0,B185&gt;=0),0,-B185/Rules!$B$5))</f>
        <v/>
      </c>
      <c r="H185" s="18">
        <f>IF(B185="","",C185-Rules!$B$3)</f>
        <v/>
      </c>
      <c r="I185" s="8" t="n"/>
      <c r="J185" s="20">
        <f>IF(B185="","",IF(C185&lt;=E185,"BREACH: floor",IF(G185&gt;=1,"BREACH: daily limit",IF(F185&lt;Rules!$B$6*0.25,"Caution","OK"))))</f>
        <v/>
      </c>
    </row>
    <row r="186">
      <c r="A186" s="17" t="n"/>
      <c r="B186" s="6" t="n"/>
      <c r="C186" s="18">
        <f>IF(B186="","",Rules!$B$3+SUM($B$5:B186))</f>
        <v/>
      </c>
      <c r="D186" s="18">
        <f>IF(B186="","",MAX(Rules!$B$3,MAX($C$5:C186)))</f>
        <v/>
      </c>
      <c r="E186" s="18">
        <f>IF(B186="","",IF(Rules!$B$7="Static",Rules!$B$3-Rules!$B$6,IF(Rules!$B$8="Yes",MIN(Rules!$B$3,D186-Rules!$B$6),D186-Rules!$B$6)))</f>
        <v/>
      </c>
      <c r="F186" s="18">
        <f>IF(B186="","",C186-E186)</f>
        <v/>
      </c>
      <c r="G186" s="19">
        <f>IF(B186="","",IF(OR(Rules!$B$5=0,B186&gt;=0),0,-B186/Rules!$B$5))</f>
        <v/>
      </c>
      <c r="H186" s="18">
        <f>IF(B186="","",C186-Rules!$B$3)</f>
        <v/>
      </c>
      <c r="I186" s="8" t="n"/>
      <c r="J186" s="20">
        <f>IF(B186="","",IF(C186&lt;=E186,"BREACH: floor",IF(G186&gt;=1,"BREACH: daily limit",IF(F186&lt;Rules!$B$6*0.25,"Caution","OK"))))</f>
        <v/>
      </c>
    </row>
    <row r="187">
      <c r="A187" s="17" t="n"/>
      <c r="B187" s="6" t="n"/>
      <c r="C187" s="18">
        <f>IF(B187="","",Rules!$B$3+SUM($B$5:B187))</f>
        <v/>
      </c>
      <c r="D187" s="18">
        <f>IF(B187="","",MAX(Rules!$B$3,MAX($C$5:C187)))</f>
        <v/>
      </c>
      <c r="E187" s="18">
        <f>IF(B187="","",IF(Rules!$B$7="Static",Rules!$B$3-Rules!$B$6,IF(Rules!$B$8="Yes",MIN(Rules!$B$3,D187-Rules!$B$6),D187-Rules!$B$6)))</f>
        <v/>
      </c>
      <c r="F187" s="18">
        <f>IF(B187="","",C187-E187)</f>
        <v/>
      </c>
      <c r="G187" s="19">
        <f>IF(B187="","",IF(OR(Rules!$B$5=0,B187&gt;=0),0,-B187/Rules!$B$5))</f>
        <v/>
      </c>
      <c r="H187" s="18">
        <f>IF(B187="","",C187-Rules!$B$3)</f>
        <v/>
      </c>
      <c r="I187" s="8" t="n"/>
      <c r="J187" s="20">
        <f>IF(B187="","",IF(C187&lt;=E187,"BREACH: floor",IF(G187&gt;=1,"BREACH: daily limit",IF(F187&lt;Rules!$B$6*0.25,"Caution","OK"))))</f>
        <v/>
      </c>
    </row>
    <row r="188">
      <c r="A188" s="17" t="n"/>
      <c r="B188" s="6" t="n"/>
      <c r="C188" s="18">
        <f>IF(B188="","",Rules!$B$3+SUM($B$5:B188))</f>
        <v/>
      </c>
      <c r="D188" s="18">
        <f>IF(B188="","",MAX(Rules!$B$3,MAX($C$5:C188)))</f>
        <v/>
      </c>
      <c r="E188" s="18">
        <f>IF(B188="","",IF(Rules!$B$7="Static",Rules!$B$3-Rules!$B$6,IF(Rules!$B$8="Yes",MIN(Rules!$B$3,D188-Rules!$B$6),D188-Rules!$B$6)))</f>
        <v/>
      </c>
      <c r="F188" s="18">
        <f>IF(B188="","",C188-E188)</f>
        <v/>
      </c>
      <c r="G188" s="19">
        <f>IF(B188="","",IF(OR(Rules!$B$5=0,B188&gt;=0),0,-B188/Rules!$B$5))</f>
        <v/>
      </c>
      <c r="H188" s="18">
        <f>IF(B188="","",C188-Rules!$B$3)</f>
        <v/>
      </c>
      <c r="I188" s="8" t="n"/>
      <c r="J188" s="20">
        <f>IF(B188="","",IF(C188&lt;=E188,"BREACH: floor",IF(G188&gt;=1,"BREACH: daily limit",IF(F188&lt;Rules!$B$6*0.25,"Caution","OK"))))</f>
        <v/>
      </c>
    </row>
    <row r="189">
      <c r="A189" s="17" t="n"/>
      <c r="B189" s="6" t="n"/>
      <c r="C189" s="18">
        <f>IF(B189="","",Rules!$B$3+SUM($B$5:B189))</f>
        <v/>
      </c>
      <c r="D189" s="18">
        <f>IF(B189="","",MAX(Rules!$B$3,MAX($C$5:C189)))</f>
        <v/>
      </c>
      <c r="E189" s="18">
        <f>IF(B189="","",IF(Rules!$B$7="Static",Rules!$B$3-Rules!$B$6,IF(Rules!$B$8="Yes",MIN(Rules!$B$3,D189-Rules!$B$6),D189-Rules!$B$6)))</f>
        <v/>
      </c>
      <c r="F189" s="18">
        <f>IF(B189="","",C189-E189)</f>
        <v/>
      </c>
      <c r="G189" s="19">
        <f>IF(B189="","",IF(OR(Rules!$B$5=0,B189&gt;=0),0,-B189/Rules!$B$5))</f>
        <v/>
      </c>
      <c r="H189" s="18">
        <f>IF(B189="","",C189-Rules!$B$3)</f>
        <v/>
      </c>
      <c r="I189" s="8" t="n"/>
      <c r="J189" s="20">
        <f>IF(B189="","",IF(C189&lt;=E189,"BREACH: floor",IF(G189&gt;=1,"BREACH: daily limit",IF(F189&lt;Rules!$B$6*0.25,"Caution","OK"))))</f>
        <v/>
      </c>
    </row>
    <row r="190">
      <c r="A190" s="17" t="n"/>
      <c r="B190" s="6" t="n"/>
      <c r="C190" s="18">
        <f>IF(B190="","",Rules!$B$3+SUM($B$5:B190))</f>
        <v/>
      </c>
      <c r="D190" s="18">
        <f>IF(B190="","",MAX(Rules!$B$3,MAX($C$5:C190)))</f>
        <v/>
      </c>
      <c r="E190" s="18">
        <f>IF(B190="","",IF(Rules!$B$7="Static",Rules!$B$3-Rules!$B$6,IF(Rules!$B$8="Yes",MIN(Rules!$B$3,D190-Rules!$B$6),D190-Rules!$B$6)))</f>
        <v/>
      </c>
      <c r="F190" s="18">
        <f>IF(B190="","",C190-E190)</f>
        <v/>
      </c>
      <c r="G190" s="19">
        <f>IF(B190="","",IF(OR(Rules!$B$5=0,B190&gt;=0),0,-B190/Rules!$B$5))</f>
        <v/>
      </c>
      <c r="H190" s="18">
        <f>IF(B190="","",C190-Rules!$B$3)</f>
        <v/>
      </c>
      <c r="I190" s="8" t="n"/>
      <c r="J190" s="20">
        <f>IF(B190="","",IF(C190&lt;=E190,"BREACH: floor",IF(G190&gt;=1,"BREACH: daily limit",IF(F190&lt;Rules!$B$6*0.25,"Caution","OK"))))</f>
        <v/>
      </c>
    </row>
    <row r="191">
      <c r="A191" s="17" t="n"/>
      <c r="B191" s="6" t="n"/>
      <c r="C191" s="18">
        <f>IF(B191="","",Rules!$B$3+SUM($B$5:B191))</f>
        <v/>
      </c>
      <c r="D191" s="18">
        <f>IF(B191="","",MAX(Rules!$B$3,MAX($C$5:C191)))</f>
        <v/>
      </c>
      <c r="E191" s="18">
        <f>IF(B191="","",IF(Rules!$B$7="Static",Rules!$B$3-Rules!$B$6,IF(Rules!$B$8="Yes",MIN(Rules!$B$3,D191-Rules!$B$6),D191-Rules!$B$6)))</f>
        <v/>
      </c>
      <c r="F191" s="18">
        <f>IF(B191="","",C191-E191)</f>
        <v/>
      </c>
      <c r="G191" s="19">
        <f>IF(B191="","",IF(OR(Rules!$B$5=0,B191&gt;=0),0,-B191/Rules!$B$5))</f>
        <v/>
      </c>
      <c r="H191" s="18">
        <f>IF(B191="","",C191-Rules!$B$3)</f>
        <v/>
      </c>
      <c r="I191" s="8" t="n"/>
      <c r="J191" s="20">
        <f>IF(B191="","",IF(C191&lt;=E191,"BREACH: floor",IF(G191&gt;=1,"BREACH: daily limit",IF(F191&lt;Rules!$B$6*0.25,"Caution","OK"))))</f>
        <v/>
      </c>
    </row>
    <row r="192">
      <c r="A192" s="17" t="n"/>
      <c r="B192" s="6" t="n"/>
      <c r="C192" s="18">
        <f>IF(B192="","",Rules!$B$3+SUM($B$5:B192))</f>
        <v/>
      </c>
      <c r="D192" s="18">
        <f>IF(B192="","",MAX(Rules!$B$3,MAX($C$5:C192)))</f>
        <v/>
      </c>
      <c r="E192" s="18">
        <f>IF(B192="","",IF(Rules!$B$7="Static",Rules!$B$3-Rules!$B$6,IF(Rules!$B$8="Yes",MIN(Rules!$B$3,D192-Rules!$B$6),D192-Rules!$B$6)))</f>
        <v/>
      </c>
      <c r="F192" s="18">
        <f>IF(B192="","",C192-E192)</f>
        <v/>
      </c>
      <c r="G192" s="19">
        <f>IF(B192="","",IF(OR(Rules!$B$5=0,B192&gt;=0),0,-B192/Rules!$B$5))</f>
        <v/>
      </c>
      <c r="H192" s="18">
        <f>IF(B192="","",C192-Rules!$B$3)</f>
        <v/>
      </c>
      <c r="I192" s="8" t="n"/>
      <c r="J192" s="20">
        <f>IF(B192="","",IF(C192&lt;=E192,"BREACH: floor",IF(G192&gt;=1,"BREACH: daily limit",IF(F192&lt;Rules!$B$6*0.25,"Caution","OK"))))</f>
        <v/>
      </c>
    </row>
    <row r="193">
      <c r="A193" s="17" t="n"/>
      <c r="B193" s="6" t="n"/>
      <c r="C193" s="18">
        <f>IF(B193="","",Rules!$B$3+SUM($B$5:B193))</f>
        <v/>
      </c>
      <c r="D193" s="18">
        <f>IF(B193="","",MAX(Rules!$B$3,MAX($C$5:C193)))</f>
        <v/>
      </c>
      <c r="E193" s="18">
        <f>IF(B193="","",IF(Rules!$B$7="Static",Rules!$B$3-Rules!$B$6,IF(Rules!$B$8="Yes",MIN(Rules!$B$3,D193-Rules!$B$6),D193-Rules!$B$6)))</f>
        <v/>
      </c>
      <c r="F193" s="18">
        <f>IF(B193="","",C193-E193)</f>
        <v/>
      </c>
      <c r="G193" s="19">
        <f>IF(B193="","",IF(OR(Rules!$B$5=0,B193&gt;=0),0,-B193/Rules!$B$5))</f>
        <v/>
      </c>
      <c r="H193" s="18">
        <f>IF(B193="","",C193-Rules!$B$3)</f>
        <v/>
      </c>
      <c r="I193" s="8" t="n"/>
      <c r="J193" s="20">
        <f>IF(B193="","",IF(C193&lt;=E193,"BREACH: floor",IF(G193&gt;=1,"BREACH: daily limit",IF(F193&lt;Rules!$B$6*0.25,"Caution","OK"))))</f>
        <v/>
      </c>
    </row>
    <row r="194">
      <c r="A194" s="17" t="n"/>
      <c r="B194" s="6" t="n"/>
      <c r="C194" s="18">
        <f>IF(B194="","",Rules!$B$3+SUM($B$5:B194))</f>
        <v/>
      </c>
      <c r="D194" s="18">
        <f>IF(B194="","",MAX(Rules!$B$3,MAX($C$5:C194)))</f>
        <v/>
      </c>
      <c r="E194" s="18">
        <f>IF(B194="","",IF(Rules!$B$7="Static",Rules!$B$3-Rules!$B$6,IF(Rules!$B$8="Yes",MIN(Rules!$B$3,D194-Rules!$B$6),D194-Rules!$B$6)))</f>
        <v/>
      </c>
      <c r="F194" s="18">
        <f>IF(B194="","",C194-E194)</f>
        <v/>
      </c>
      <c r="G194" s="19">
        <f>IF(B194="","",IF(OR(Rules!$B$5=0,B194&gt;=0),0,-B194/Rules!$B$5))</f>
        <v/>
      </c>
      <c r="H194" s="18">
        <f>IF(B194="","",C194-Rules!$B$3)</f>
        <v/>
      </c>
      <c r="I194" s="8" t="n"/>
      <c r="J194" s="20">
        <f>IF(B194="","",IF(C194&lt;=E194,"BREACH: floor",IF(G194&gt;=1,"BREACH: daily limit",IF(F194&lt;Rules!$B$6*0.25,"Caution","OK"))))</f>
        <v/>
      </c>
    </row>
    <row r="195">
      <c r="A195" s="17" t="n"/>
      <c r="B195" s="6" t="n"/>
      <c r="C195" s="18">
        <f>IF(B195="","",Rules!$B$3+SUM($B$5:B195))</f>
        <v/>
      </c>
      <c r="D195" s="18">
        <f>IF(B195="","",MAX(Rules!$B$3,MAX($C$5:C195)))</f>
        <v/>
      </c>
      <c r="E195" s="18">
        <f>IF(B195="","",IF(Rules!$B$7="Static",Rules!$B$3-Rules!$B$6,IF(Rules!$B$8="Yes",MIN(Rules!$B$3,D195-Rules!$B$6),D195-Rules!$B$6)))</f>
        <v/>
      </c>
      <c r="F195" s="18">
        <f>IF(B195="","",C195-E195)</f>
        <v/>
      </c>
      <c r="G195" s="19">
        <f>IF(B195="","",IF(OR(Rules!$B$5=0,B195&gt;=0),0,-B195/Rules!$B$5))</f>
        <v/>
      </c>
      <c r="H195" s="18">
        <f>IF(B195="","",C195-Rules!$B$3)</f>
        <v/>
      </c>
      <c r="I195" s="8" t="n"/>
      <c r="J195" s="20">
        <f>IF(B195="","",IF(C195&lt;=E195,"BREACH: floor",IF(G195&gt;=1,"BREACH: daily limit",IF(F195&lt;Rules!$B$6*0.25,"Caution","OK"))))</f>
        <v/>
      </c>
    </row>
    <row r="196">
      <c r="A196" s="17" t="n"/>
      <c r="B196" s="6" t="n"/>
      <c r="C196" s="18">
        <f>IF(B196="","",Rules!$B$3+SUM($B$5:B196))</f>
        <v/>
      </c>
      <c r="D196" s="18">
        <f>IF(B196="","",MAX(Rules!$B$3,MAX($C$5:C196)))</f>
        <v/>
      </c>
      <c r="E196" s="18">
        <f>IF(B196="","",IF(Rules!$B$7="Static",Rules!$B$3-Rules!$B$6,IF(Rules!$B$8="Yes",MIN(Rules!$B$3,D196-Rules!$B$6),D196-Rules!$B$6)))</f>
        <v/>
      </c>
      <c r="F196" s="18">
        <f>IF(B196="","",C196-E196)</f>
        <v/>
      </c>
      <c r="G196" s="19">
        <f>IF(B196="","",IF(OR(Rules!$B$5=0,B196&gt;=0),0,-B196/Rules!$B$5))</f>
        <v/>
      </c>
      <c r="H196" s="18">
        <f>IF(B196="","",C196-Rules!$B$3)</f>
        <v/>
      </c>
      <c r="I196" s="8" t="n"/>
      <c r="J196" s="20">
        <f>IF(B196="","",IF(C196&lt;=E196,"BREACH: floor",IF(G196&gt;=1,"BREACH: daily limit",IF(F196&lt;Rules!$B$6*0.25,"Caution","OK"))))</f>
        <v/>
      </c>
    </row>
    <row r="197">
      <c r="A197" s="17" t="n"/>
      <c r="B197" s="6" t="n"/>
      <c r="C197" s="18">
        <f>IF(B197="","",Rules!$B$3+SUM($B$5:B197))</f>
        <v/>
      </c>
      <c r="D197" s="18">
        <f>IF(B197="","",MAX(Rules!$B$3,MAX($C$5:C197)))</f>
        <v/>
      </c>
      <c r="E197" s="18">
        <f>IF(B197="","",IF(Rules!$B$7="Static",Rules!$B$3-Rules!$B$6,IF(Rules!$B$8="Yes",MIN(Rules!$B$3,D197-Rules!$B$6),D197-Rules!$B$6)))</f>
        <v/>
      </c>
      <c r="F197" s="18">
        <f>IF(B197="","",C197-E197)</f>
        <v/>
      </c>
      <c r="G197" s="19">
        <f>IF(B197="","",IF(OR(Rules!$B$5=0,B197&gt;=0),0,-B197/Rules!$B$5))</f>
        <v/>
      </c>
      <c r="H197" s="18">
        <f>IF(B197="","",C197-Rules!$B$3)</f>
        <v/>
      </c>
      <c r="I197" s="8" t="n"/>
      <c r="J197" s="20">
        <f>IF(B197="","",IF(C197&lt;=E197,"BREACH: floor",IF(G197&gt;=1,"BREACH: daily limit",IF(F197&lt;Rules!$B$6*0.25,"Caution","OK"))))</f>
        <v/>
      </c>
    </row>
    <row r="198">
      <c r="A198" s="17" t="n"/>
      <c r="B198" s="6" t="n"/>
      <c r="C198" s="18">
        <f>IF(B198="","",Rules!$B$3+SUM($B$5:B198))</f>
        <v/>
      </c>
      <c r="D198" s="18">
        <f>IF(B198="","",MAX(Rules!$B$3,MAX($C$5:C198)))</f>
        <v/>
      </c>
      <c r="E198" s="18">
        <f>IF(B198="","",IF(Rules!$B$7="Static",Rules!$B$3-Rules!$B$6,IF(Rules!$B$8="Yes",MIN(Rules!$B$3,D198-Rules!$B$6),D198-Rules!$B$6)))</f>
        <v/>
      </c>
      <c r="F198" s="18">
        <f>IF(B198="","",C198-E198)</f>
        <v/>
      </c>
      <c r="G198" s="19">
        <f>IF(B198="","",IF(OR(Rules!$B$5=0,B198&gt;=0),0,-B198/Rules!$B$5))</f>
        <v/>
      </c>
      <c r="H198" s="18">
        <f>IF(B198="","",C198-Rules!$B$3)</f>
        <v/>
      </c>
      <c r="I198" s="8" t="n"/>
      <c r="J198" s="20">
        <f>IF(B198="","",IF(C198&lt;=E198,"BREACH: floor",IF(G198&gt;=1,"BREACH: daily limit",IF(F198&lt;Rules!$B$6*0.25,"Caution","OK"))))</f>
        <v/>
      </c>
    </row>
    <row r="199">
      <c r="A199" s="17" t="n"/>
      <c r="B199" s="6" t="n"/>
      <c r="C199" s="18">
        <f>IF(B199="","",Rules!$B$3+SUM($B$5:B199))</f>
        <v/>
      </c>
      <c r="D199" s="18">
        <f>IF(B199="","",MAX(Rules!$B$3,MAX($C$5:C199)))</f>
        <v/>
      </c>
      <c r="E199" s="18">
        <f>IF(B199="","",IF(Rules!$B$7="Static",Rules!$B$3-Rules!$B$6,IF(Rules!$B$8="Yes",MIN(Rules!$B$3,D199-Rules!$B$6),D199-Rules!$B$6)))</f>
        <v/>
      </c>
      <c r="F199" s="18">
        <f>IF(B199="","",C199-E199)</f>
        <v/>
      </c>
      <c r="G199" s="19">
        <f>IF(B199="","",IF(OR(Rules!$B$5=0,B199&gt;=0),0,-B199/Rules!$B$5))</f>
        <v/>
      </c>
      <c r="H199" s="18">
        <f>IF(B199="","",C199-Rules!$B$3)</f>
        <v/>
      </c>
      <c r="I199" s="8" t="n"/>
      <c r="J199" s="20">
        <f>IF(B199="","",IF(C199&lt;=E199,"BREACH: floor",IF(G199&gt;=1,"BREACH: daily limit",IF(F199&lt;Rules!$B$6*0.25,"Caution","OK"))))</f>
        <v/>
      </c>
    </row>
    <row r="200">
      <c r="A200" s="17" t="n"/>
      <c r="B200" s="6" t="n"/>
      <c r="C200" s="18">
        <f>IF(B200="","",Rules!$B$3+SUM($B$5:B200))</f>
        <v/>
      </c>
      <c r="D200" s="18">
        <f>IF(B200="","",MAX(Rules!$B$3,MAX($C$5:C200)))</f>
        <v/>
      </c>
      <c r="E200" s="18">
        <f>IF(B200="","",IF(Rules!$B$7="Static",Rules!$B$3-Rules!$B$6,IF(Rules!$B$8="Yes",MIN(Rules!$B$3,D200-Rules!$B$6),D200-Rules!$B$6)))</f>
        <v/>
      </c>
      <c r="F200" s="18">
        <f>IF(B200="","",C200-E200)</f>
        <v/>
      </c>
      <c r="G200" s="19">
        <f>IF(B200="","",IF(OR(Rules!$B$5=0,B200&gt;=0),0,-B200/Rules!$B$5))</f>
        <v/>
      </c>
      <c r="H200" s="18">
        <f>IF(B200="","",C200-Rules!$B$3)</f>
        <v/>
      </c>
      <c r="I200" s="8" t="n"/>
      <c r="J200" s="20">
        <f>IF(B200="","",IF(C200&lt;=E200,"BREACH: floor",IF(G200&gt;=1,"BREACH: daily limit",IF(F200&lt;Rules!$B$6*0.25,"Caution","OK"))))</f>
        <v/>
      </c>
    </row>
    <row r="201">
      <c r="A201" s="17" t="n"/>
      <c r="B201" s="6" t="n"/>
      <c r="C201" s="18">
        <f>IF(B201="","",Rules!$B$3+SUM($B$5:B201))</f>
        <v/>
      </c>
      <c r="D201" s="18">
        <f>IF(B201="","",MAX(Rules!$B$3,MAX($C$5:C201)))</f>
        <v/>
      </c>
      <c r="E201" s="18">
        <f>IF(B201="","",IF(Rules!$B$7="Static",Rules!$B$3-Rules!$B$6,IF(Rules!$B$8="Yes",MIN(Rules!$B$3,D201-Rules!$B$6),D201-Rules!$B$6)))</f>
        <v/>
      </c>
      <c r="F201" s="18">
        <f>IF(B201="","",C201-E201)</f>
        <v/>
      </c>
      <c r="G201" s="19">
        <f>IF(B201="","",IF(OR(Rules!$B$5=0,B201&gt;=0),0,-B201/Rules!$B$5))</f>
        <v/>
      </c>
      <c r="H201" s="18">
        <f>IF(B201="","",C201-Rules!$B$3)</f>
        <v/>
      </c>
      <c r="I201" s="8" t="n"/>
      <c r="J201" s="20">
        <f>IF(B201="","",IF(C201&lt;=E201,"BREACH: floor",IF(G201&gt;=1,"BREACH: daily limit",IF(F201&lt;Rules!$B$6*0.25,"Caution","OK"))))</f>
        <v/>
      </c>
    </row>
    <row r="202">
      <c r="A202" s="17" t="n"/>
      <c r="B202" s="6" t="n"/>
      <c r="C202" s="18">
        <f>IF(B202="","",Rules!$B$3+SUM($B$5:B202))</f>
        <v/>
      </c>
      <c r="D202" s="18">
        <f>IF(B202="","",MAX(Rules!$B$3,MAX($C$5:C202)))</f>
        <v/>
      </c>
      <c r="E202" s="18">
        <f>IF(B202="","",IF(Rules!$B$7="Static",Rules!$B$3-Rules!$B$6,IF(Rules!$B$8="Yes",MIN(Rules!$B$3,D202-Rules!$B$6),D202-Rules!$B$6)))</f>
        <v/>
      </c>
      <c r="F202" s="18">
        <f>IF(B202="","",C202-E202)</f>
        <v/>
      </c>
      <c r="G202" s="19">
        <f>IF(B202="","",IF(OR(Rules!$B$5=0,B202&gt;=0),0,-B202/Rules!$B$5))</f>
        <v/>
      </c>
      <c r="H202" s="18">
        <f>IF(B202="","",C202-Rules!$B$3)</f>
        <v/>
      </c>
      <c r="I202" s="8" t="n"/>
      <c r="J202" s="20">
        <f>IF(B202="","",IF(C202&lt;=E202,"BREACH: floor",IF(G202&gt;=1,"BREACH: daily limit",IF(F202&lt;Rules!$B$6*0.25,"Caution","OK"))))</f>
        <v/>
      </c>
    </row>
    <row r="203">
      <c r="A203" s="17" t="n"/>
      <c r="B203" s="6" t="n"/>
      <c r="C203" s="18">
        <f>IF(B203="","",Rules!$B$3+SUM($B$5:B203))</f>
        <v/>
      </c>
      <c r="D203" s="18">
        <f>IF(B203="","",MAX(Rules!$B$3,MAX($C$5:C203)))</f>
        <v/>
      </c>
      <c r="E203" s="18">
        <f>IF(B203="","",IF(Rules!$B$7="Static",Rules!$B$3-Rules!$B$6,IF(Rules!$B$8="Yes",MIN(Rules!$B$3,D203-Rules!$B$6),D203-Rules!$B$6)))</f>
        <v/>
      </c>
      <c r="F203" s="18">
        <f>IF(B203="","",C203-E203)</f>
        <v/>
      </c>
      <c r="G203" s="19">
        <f>IF(B203="","",IF(OR(Rules!$B$5=0,B203&gt;=0),0,-B203/Rules!$B$5))</f>
        <v/>
      </c>
      <c r="H203" s="18">
        <f>IF(B203="","",C203-Rules!$B$3)</f>
        <v/>
      </c>
      <c r="I203" s="8" t="n"/>
      <c r="J203" s="20">
        <f>IF(B203="","",IF(C203&lt;=E203,"BREACH: floor",IF(G203&gt;=1,"BREACH: daily limit",IF(F203&lt;Rules!$B$6*0.25,"Caution","OK"))))</f>
        <v/>
      </c>
    </row>
    <row r="204">
      <c r="A204" s="17" t="n"/>
      <c r="B204" s="6" t="n"/>
      <c r="C204" s="18">
        <f>IF(B204="","",Rules!$B$3+SUM($B$5:B204))</f>
        <v/>
      </c>
      <c r="D204" s="18">
        <f>IF(B204="","",MAX(Rules!$B$3,MAX($C$5:C204)))</f>
        <v/>
      </c>
      <c r="E204" s="18">
        <f>IF(B204="","",IF(Rules!$B$7="Static",Rules!$B$3-Rules!$B$6,IF(Rules!$B$8="Yes",MIN(Rules!$B$3,D204-Rules!$B$6),D204-Rules!$B$6)))</f>
        <v/>
      </c>
      <c r="F204" s="18">
        <f>IF(B204="","",C204-E204)</f>
        <v/>
      </c>
      <c r="G204" s="19">
        <f>IF(B204="","",IF(OR(Rules!$B$5=0,B204&gt;=0),0,-B204/Rules!$B$5))</f>
        <v/>
      </c>
      <c r="H204" s="18">
        <f>IF(B204="","",C204-Rules!$B$3)</f>
        <v/>
      </c>
      <c r="I204" s="8" t="n"/>
      <c r="J204" s="20">
        <f>IF(B204="","",IF(C204&lt;=E204,"BREACH: floor",IF(G204&gt;=1,"BREACH: daily limit",IF(F204&lt;Rules!$B$6*0.25,"Caution","OK"))))</f>
        <v/>
      </c>
    </row>
  </sheetData>
  <conditionalFormatting sqref="J5:J204">
    <cfRule type="expression" priority="1" dxfId="0">
      <formula>LEFT(J5,6)="BREACH"</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2026-10-29T16:07:54Z</dcterms:created>
  <dcterms:modified xmlns:dcterms="http://purl.org/dc/terms/" xmlns:xsi="http://www.w3.org/2001/XMLSchema-instance" xsi:type="dcterms:W3CDTF">2026-10-29T16:07:54Z</dcterms:modified>
</cp:coreProperties>
</file>